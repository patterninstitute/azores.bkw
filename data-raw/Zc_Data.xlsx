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azores.breeding-main/data-raw/"/>
    </mc:Choice>
  </mc:AlternateContent>
  <xr:revisionPtr revIDLastSave="0" documentId="13_ncr:1_{BC459FB9-F472-9F4F-BB0F-F3512C3F4FE0}" xr6:coauthVersionLast="47" xr6:coauthVersionMax="47" xr10:uidLastSave="{00000000-0000-0000-0000-000000000000}"/>
  <bookViews>
    <workbookView xWindow="280" yWindow="760" windowWidth="28240" windowHeight="16160" activeTab="3" xr2:uid="{FE0E48A8-4FB3-CB47-A162-FB88981530FB}"/>
  </bookViews>
  <sheets>
    <sheet name="ALL" sheetId="1" r:id="rId1"/>
    <sheet name="Análise" sheetId="2" r:id="rId2"/>
    <sheet name="Posições" sheetId="3" r:id="rId3"/>
    <sheet name="Data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<sst xmlns="http://schemas.openxmlformats.org/spreadsheetml/2006/main" count="215" uniqueCount="79">
  <si>
    <t>lat</t>
  </si>
  <si>
    <t>lon</t>
  </si>
  <si>
    <t>name</t>
  </si>
  <si>
    <t>ZC_20120906.01B</t>
  </si>
  <si>
    <t>ZC</t>
  </si>
  <si>
    <t>ZC_20120906.01E</t>
  </si>
  <si>
    <t>ZC TS 4 I 2</t>
  </si>
  <si>
    <t>ZC_20141011.01B</t>
  </si>
  <si>
    <t>ZC_20141011.01E</t>
  </si>
  <si>
    <t>ZC R FO 1 I 1</t>
  </si>
  <si>
    <t>ZC_20141025.01B</t>
  </si>
  <si>
    <t>ZC_20141025.01E</t>
  </si>
  <si>
    <t>ZC FO 5 E 1</t>
  </si>
  <si>
    <t>ZC_20150909.01</t>
  </si>
  <si>
    <t>ZC TS 2 I 1 1</t>
  </si>
  <si>
    <t>ZC_20160724.01</t>
  </si>
  <si>
    <t>ZC BR 1 I 2 3</t>
  </si>
  <si>
    <t>ZC_20160901.01</t>
  </si>
  <si>
    <t>ZC TS H BS 4 I 2 1</t>
  </si>
  <si>
    <t>Sighting</t>
  </si>
  <si>
    <t>Date</t>
  </si>
  <si>
    <t>Time</t>
  </si>
  <si>
    <t>Behaviour</t>
  </si>
  <si>
    <t>Behavior</t>
  </si>
  <si>
    <t>Group Compositon</t>
  </si>
  <si>
    <t>Boat Presence</t>
  </si>
  <si>
    <t>Beaufort</t>
  </si>
  <si>
    <t>Time I</t>
  </si>
  <si>
    <t>Time F</t>
  </si>
  <si>
    <t>Time Stayed</t>
  </si>
  <si>
    <t>FO</t>
  </si>
  <si>
    <t>M</t>
  </si>
  <si>
    <t>R</t>
  </si>
  <si>
    <t>TF</t>
  </si>
  <si>
    <t>TA</t>
  </si>
  <si>
    <t>TS</t>
  </si>
  <si>
    <t>SO</t>
  </si>
  <si>
    <t>BR</t>
  </si>
  <si>
    <t>LB 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</si>
  <si>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</si>
  <si>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</si>
  <si>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</si>
  <si>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</si>
  <si>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</si>
  <si>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</si>
  <si>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</si>
  <si>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</si>
  <si>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</si>
  <si>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</si>
  <si>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</si>
  <si>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</si>
  <si>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</si>
  <si>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</si>
  <si>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</si>
  <si>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</si>
  <si>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</si>
  <si>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</si>
  <si>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</si>
  <si>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</si>
  <si>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</si>
  <si>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NO</t>
  </si>
  <si>
    <t xml:space="preserve">Time </t>
  </si>
  <si>
    <t>06</t>
  </si>
  <si>
    <t>09</t>
  </si>
  <si>
    <t>2012</t>
  </si>
  <si>
    <t>11</t>
  </si>
  <si>
    <t>10</t>
  </si>
  <si>
    <t>2014</t>
  </si>
  <si>
    <t>25</t>
  </si>
  <si>
    <t>2015</t>
  </si>
  <si>
    <t>24</t>
  </si>
  <si>
    <t>07</t>
  </si>
  <si>
    <t>2016</t>
  </si>
  <si>
    <t>01</t>
  </si>
  <si>
    <t>Day</t>
  </si>
  <si>
    <t>Month</t>
  </si>
  <si>
    <t>Year</t>
  </si>
  <si>
    <t>Time i</t>
  </si>
  <si>
    <t>Time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</si>
</sst>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1" fontId="0" fillId="0" borderId="8" xfId="0" applyNumberFormat="1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m/Bm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b/Bb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/>
      <sheetData sheetId="2"/>
      <sheetData sheetId="3">
        <row r="2">
          <cell r="N2" t="str">
            <v>FO</v>
          </cell>
          <cell r="O2" t="str">
            <v>M</v>
          </cell>
          <cell r="P2" t="str">
            <v>R</v>
          </cell>
          <cell r="Q2" t="str">
            <v>TF</v>
          </cell>
          <cell r="R2" t="str">
            <v>TA</v>
          </cell>
          <cell r="S2" t="str">
            <v>TS</v>
          </cell>
          <cell r="T2" t="str">
            <v>SO</v>
          </cell>
          <cell r="U2" t="str">
            <v>BR</v>
          </cell>
          <cell r="V2" t="str">
            <v xml:space="preserve">LB </v>
          </cell>
          <cell r="W2" t="str">
            <v>FL</v>
          </cell>
          <cell r="X2" t="str">
            <v>SP</v>
          </cell>
          <cell r="Y2" t="str">
            <v>OT</v>
          </cell>
          <cell r="Z2" t="str">
            <v>BS</v>
          </cell>
          <cell r="AA2" t="str">
            <v>BF</v>
          </cell>
          <cell r="AB2" t="str">
            <v>BB</v>
          </cell>
          <cell r="AC2" t="str">
            <v>H</v>
          </cell>
          <cell r="AD2" t="str">
            <v>NI</v>
          </cell>
          <cell r="AE2" t="str">
            <v>Max</v>
          </cell>
          <cell r="AF2" t="str">
            <v>Ad</v>
          </cell>
          <cell r="AG2" t="str">
            <v>J</v>
          </cell>
          <cell r="AH2" t="str">
            <v>C</v>
          </cell>
          <cell r="AI2" t="str">
            <v>NB</v>
          </cell>
          <cell r="AJ2" t="str">
            <v>NI</v>
          </cell>
          <cell r="AK2" t="str">
            <v>A</v>
          </cell>
          <cell r="AL2" t="str">
            <v>I</v>
          </cell>
          <cell r="AM2" t="str">
            <v>E</v>
          </cell>
          <cell r="AN2" t="str">
            <v>Ni</v>
          </cell>
          <cell r="AO2">
            <v>0</v>
          </cell>
          <cell r="AP2">
            <v>1</v>
          </cell>
          <cell r="AQ2">
            <v>2</v>
          </cell>
          <cell r="AR2">
            <v>3</v>
          </cell>
          <cell r="AS2">
            <v>4</v>
          </cell>
          <cell r="AT2">
            <v>5</v>
          </cell>
          <cell r="AU2" t="str">
            <v>NI</v>
          </cell>
        </row>
        <row r="247">
          <cell r="E247" t="str">
            <v>March</v>
          </cell>
        </row>
        <row r="248">
          <cell r="E248" t="str">
            <v>April</v>
          </cell>
        </row>
        <row r="249">
          <cell r="E249" t="str">
            <v>May</v>
          </cell>
        </row>
        <row r="250">
          <cell r="E250" t="str">
            <v>June</v>
          </cell>
        </row>
        <row r="251">
          <cell r="E251" t="str">
            <v>July</v>
          </cell>
        </row>
        <row r="252">
          <cell r="E252" t="str">
            <v>August</v>
          </cell>
        </row>
        <row r="253">
          <cell r="E253" t="str">
            <v>September</v>
          </cell>
        </row>
        <row r="254">
          <cell r="E254" t="str">
            <v>October</v>
          </cell>
        </row>
        <row r="255">
          <cell r="E255" t="str">
            <v>November</v>
          </cell>
        </row>
        <row r="258">
          <cell r="A258" t="str">
            <v>March</v>
          </cell>
        </row>
        <row r="259">
          <cell r="A259" t="str">
            <v>April</v>
          </cell>
        </row>
        <row r="260">
          <cell r="A260" t="str">
            <v>May</v>
          </cell>
        </row>
        <row r="261">
          <cell r="A261" t="str">
            <v>June</v>
          </cell>
        </row>
        <row r="262">
          <cell r="A262" t="str">
            <v>July</v>
          </cell>
        </row>
        <row r="263">
          <cell r="A263" t="str">
            <v>August</v>
          </cell>
        </row>
        <row r="264">
          <cell r="A264" t="str">
            <v>September</v>
          </cell>
        </row>
        <row r="265">
          <cell r="A265" t="str">
            <v>October</v>
          </cell>
        </row>
        <row r="266">
          <cell r="A266" t="str">
            <v>November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>
        <row r="2">
          <cell r="N2" t="str">
            <v>FO</v>
          </cell>
        </row>
        <row r="118">
          <cell r="A118">
            <v>2012</v>
          </cell>
        </row>
        <row r="119">
          <cell r="A119">
            <v>2013</v>
          </cell>
        </row>
        <row r="120">
          <cell r="A120">
            <v>2014</v>
          </cell>
        </row>
        <row r="121">
          <cell r="A121">
            <v>2015</v>
          </cell>
        </row>
        <row r="122">
          <cell r="A122">
            <v>2016</v>
          </cell>
        </row>
        <row r="123">
          <cell r="A123">
            <v>2017</v>
          </cell>
        </row>
        <row r="124">
          <cell r="A124">
            <v>2018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F096-3A63-3F4F-961B-1C2584F0CD18}">
  <dimension ref="A2:G11"/>
  <sheetViews>
    <sheetView workbookViewId="0">
      <selection sqref="A1:XFD1"/>
    </sheetView>
  </sheetViews>
  <sheetFormatPr baseColWidth="10" defaultRowHeight="16" x14ac:dyDescent="0.2"/>
  <cols>
    <col min="4" max="4" width="19.6640625" bestFit="1" customWidth="1"/>
    <col min="5" max="5" width="19.6640625" customWidth="1"/>
    <col min="6" max="6" width="15.83203125" bestFit="1" customWidth="1"/>
    <col min="7" max="7" width="15.5" bestFit="1" customWidth="1"/>
  </cols>
  <sheetData>
    <row r="2" spans="1:7" x14ac:dyDescent="0.2">
      <c r="A2" t="s">
        <v>19</v>
      </c>
      <c r="B2" t="s">
        <v>0</v>
      </c>
      <c r="C2" t="s">
        <v>1</v>
      </c>
      <c r="D2" t="s">
        <v>20</v>
      </c>
      <c r="E2" t="s">
        <v>21</v>
      </c>
      <c r="F2" t="s">
        <v>2</v>
      </c>
      <c r="G2" t="s">
        <v>22</v>
      </c>
    </row>
    <row r="3" spans="1:7" x14ac:dyDescent="0.2">
      <c r="A3">
        <v>1</v>
      </c>
      <c r="B3">
        <v>38.438028031960101</v>
      </c>
      <c r="C3">
        <f>-27.8797060344368</f>
        <v>-27.879706034436801</v>
      </c>
      <c r="D3" s="1">
        <v>41158</v>
      </c>
      <c r="E3" s="2">
        <v>0.69721064814814815</v>
      </c>
      <c r="F3" t="s">
        <v>3</v>
      </c>
      <c r="G3" t="s">
        <v>4</v>
      </c>
    </row>
    <row r="4" spans="1:7" x14ac:dyDescent="0.2">
      <c r="A4">
        <v>2</v>
      </c>
      <c r="B4">
        <v>38.440598007291499</v>
      </c>
      <c r="C4">
        <f>-27.8885740041732</f>
        <v>-27.888574004173201</v>
      </c>
      <c r="D4" s="1">
        <v>41158</v>
      </c>
      <c r="E4" s="2">
        <v>0.70825231481481488</v>
      </c>
      <c r="F4" t="s">
        <v>5</v>
      </c>
      <c r="G4" t="s">
        <v>6</v>
      </c>
    </row>
    <row r="5" spans="1:7" x14ac:dyDescent="0.2">
      <c r="A5">
        <v>3</v>
      </c>
      <c r="B5">
        <v>38.387512983754199</v>
      </c>
      <c r="C5">
        <f>-28.3211569860577</f>
        <v>-28.321156986057701</v>
      </c>
      <c r="D5" s="1">
        <v>41923</v>
      </c>
      <c r="E5" s="2">
        <v>0.42614583333333328</v>
      </c>
      <c r="F5" t="s">
        <v>7</v>
      </c>
      <c r="G5" t="s">
        <v>4</v>
      </c>
    </row>
    <row r="6" spans="1:7" x14ac:dyDescent="0.2">
      <c r="A6">
        <v>4</v>
      </c>
      <c r="B6">
        <v>38.379494016990002</v>
      </c>
      <c r="C6">
        <f>-28.3202519919723</f>
        <v>-28.320251991972299</v>
      </c>
      <c r="D6" s="1">
        <v>41923</v>
      </c>
      <c r="E6" s="2">
        <v>0.47423611111111108</v>
      </c>
      <c r="F6" t="s">
        <v>8</v>
      </c>
      <c r="G6" t="s">
        <v>9</v>
      </c>
    </row>
    <row r="7" spans="1:7" x14ac:dyDescent="0.2">
      <c r="A7">
        <v>5</v>
      </c>
      <c r="B7">
        <v>38.308652015402899</v>
      </c>
      <c r="C7">
        <f>-28.128354018554</f>
        <v>-28.128354018553999</v>
      </c>
      <c r="D7" s="1">
        <v>41937</v>
      </c>
      <c r="E7" s="2">
        <v>0.42900462962962965</v>
      </c>
      <c r="F7" t="s">
        <v>10</v>
      </c>
      <c r="G7" t="s">
        <v>4</v>
      </c>
    </row>
    <row r="8" spans="1:7" x14ac:dyDescent="0.2">
      <c r="A8">
        <v>6</v>
      </c>
      <c r="B8">
        <v>38.3034709934145</v>
      </c>
      <c r="C8">
        <f>-28.1279360130429</f>
        <v>-28.127936013042898</v>
      </c>
      <c r="D8" s="1">
        <v>41937</v>
      </c>
      <c r="E8" s="2">
        <v>0.44991898148148146</v>
      </c>
      <c r="F8" t="s">
        <v>11</v>
      </c>
      <c r="G8" t="s">
        <v>12</v>
      </c>
    </row>
    <row r="9" spans="1:7" x14ac:dyDescent="0.2">
      <c r="A9">
        <v>7</v>
      </c>
      <c r="B9">
        <v>38.446831963956299</v>
      </c>
      <c r="C9">
        <f>-27.9636099748313</f>
        <v>-27.9636099748313</v>
      </c>
      <c r="D9" s="1">
        <v>42256</v>
      </c>
      <c r="E9" s="2">
        <v>0.53643518518518518</v>
      </c>
      <c r="F9" t="s">
        <v>13</v>
      </c>
      <c r="G9" t="s">
        <v>14</v>
      </c>
    </row>
    <row r="10" spans="1:7" x14ac:dyDescent="0.2">
      <c r="A10">
        <v>8</v>
      </c>
      <c r="B10">
        <v>38.428423963487099</v>
      </c>
      <c r="C10">
        <f>-27.9467099625617</f>
        <v>-27.946709962561702</v>
      </c>
      <c r="D10" s="1">
        <v>42575</v>
      </c>
      <c r="E10" s="2">
        <v>0.48753472222222222</v>
      </c>
      <c r="F10" t="s">
        <v>15</v>
      </c>
      <c r="G10" t="s">
        <v>16</v>
      </c>
    </row>
    <row r="11" spans="1:7" x14ac:dyDescent="0.2">
      <c r="A11">
        <v>9</v>
      </c>
      <c r="B11">
        <v>38.291216986253801</v>
      </c>
      <c r="C11">
        <f>-27.9516390245407</f>
        <v>-27.9516390245407</v>
      </c>
      <c r="D11" s="1">
        <v>42614</v>
      </c>
      <c r="E11" s="2">
        <v>0.64223379629629629</v>
      </c>
      <c r="F11" t="s">
        <v>17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56A1-1755-2E4D-9DF1-AD8FC1BE2346}">
  <dimension ref="A1:AW8"/>
  <sheetViews>
    <sheetView workbookViewId="0">
      <selection sqref="A1:H1048576"/>
    </sheetView>
  </sheetViews>
  <sheetFormatPr baseColWidth="10" defaultRowHeight="16" x14ac:dyDescent="0.2"/>
  <sheetData>
    <row r="1" spans="1:49" ht="18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0" t="s">
        <v>23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 t="s">
        <v>24</v>
      </c>
      <c r="AC1" s="10"/>
      <c r="AD1" s="10"/>
      <c r="AE1" s="10"/>
      <c r="AF1" s="10"/>
      <c r="AG1" s="10" t="s">
        <v>25</v>
      </c>
      <c r="AH1" s="10"/>
      <c r="AI1" s="10"/>
      <c r="AJ1" s="10" t="s">
        <v>26</v>
      </c>
      <c r="AK1" s="10"/>
      <c r="AL1" s="10"/>
      <c r="AM1" s="10"/>
      <c r="AN1" s="10"/>
      <c r="AO1" s="10"/>
      <c r="AP1" s="10"/>
      <c r="AQ1" s="9"/>
      <c r="AR1" s="9"/>
      <c r="AS1" s="9"/>
      <c r="AT1" s="9"/>
      <c r="AU1" s="9"/>
      <c r="AV1" s="9"/>
      <c r="AW1" s="11"/>
    </row>
    <row r="2" spans="1:49" ht="18" x14ac:dyDescent="0.2">
      <c r="A2" s="12" t="s">
        <v>19</v>
      </c>
      <c r="B2" s="3" t="s">
        <v>0</v>
      </c>
      <c r="C2" s="3" t="s">
        <v>1</v>
      </c>
      <c r="D2" s="3" t="s">
        <v>20</v>
      </c>
      <c r="E2" s="3" t="s">
        <v>27</v>
      </c>
      <c r="F2" s="3" t="s">
        <v>28</v>
      </c>
      <c r="G2" s="3" t="s">
        <v>29</v>
      </c>
      <c r="H2" s="3" t="s">
        <v>2</v>
      </c>
      <c r="I2" s="3" t="s">
        <v>22</v>
      </c>
      <c r="J2" s="3"/>
      <c r="K2" s="5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44</v>
      </c>
      <c r="Z2" s="4" t="s">
        <v>45</v>
      </c>
      <c r="AA2" s="4" t="s">
        <v>46</v>
      </c>
      <c r="AB2" s="4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46</v>
      </c>
      <c r="AH2" s="4" t="s">
        <v>52</v>
      </c>
      <c r="AI2" s="4" t="s">
        <v>53</v>
      </c>
      <c r="AJ2" s="4" t="s">
        <v>54</v>
      </c>
      <c r="AK2" s="4" t="s">
        <v>55</v>
      </c>
      <c r="AL2" s="4">
        <v>0</v>
      </c>
      <c r="AM2" s="4">
        <v>1</v>
      </c>
      <c r="AN2" s="4">
        <v>2</v>
      </c>
      <c r="AO2" s="4">
        <v>3</v>
      </c>
      <c r="AP2" s="4">
        <v>4</v>
      </c>
      <c r="AQ2" s="4">
        <v>5</v>
      </c>
      <c r="AR2" s="4" t="s">
        <v>46</v>
      </c>
      <c r="AS2" s="4" t="s">
        <v>56</v>
      </c>
      <c r="AT2" s="4" t="s">
        <v>57</v>
      </c>
      <c r="AU2" s="4" t="s">
        <v>58</v>
      </c>
      <c r="AV2" s="4" t="s">
        <v>59</v>
      </c>
      <c r="AW2" s="13"/>
    </row>
    <row r="3" spans="1:49" x14ac:dyDescent="0.2">
      <c r="A3" s="12">
        <v>1</v>
      </c>
      <c r="B3" s="3">
        <v>38.438028000000003</v>
      </c>
      <c r="C3" s="3">
        <v>-27.879705999999999</v>
      </c>
      <c r="D3" s="6">
        <v>41158</v>
      </c>
      <c r="E3" s="7">
        <v>0.69721064814814815</v>
      </c>
      <c r="F3" s="7">
        <v>0.70825231481481488</v>
      </c>
      <c r="G3" s="7">
        <v>1.1041666666666667E-2</v>
      </c>
      <c r="H3" s="3" t="s">
        <v>3</v>
      </c>
      <c r="I3" s="3" t="s">
        <v>4</v>
      </c>
      <c r="J3" s="3" t="s">
        <v>6</v>
      </c>
      <c r="K3" s="3"/>
      <c r="L3" s="3"/>
      <c r="M3" s="3"/>
      <c r="N3" s="3"/>
      <c r="O3" s="3"/>
      <c r="P3" s="3">
        <v>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4</v>
      </c>
      <c r="AC3" s="3">
        <v>4</v>
      </c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>
        <v>1</v>
      </c>
      <c r="AO3" s="3"/>
      <c r="AP3" s="3"/>
      <c r="AQ3" s="3"/>
      <c r="AR3" s="3"/>
      <c r="AS3" s="3" t="s">
        <v>46</v>
      </c>
      <c r="AT3" s="3" t="s">
        <v>46</v>
      </c>
      <c r="AU3" s="3"/>
      <c r="AV3" s="3" t="s">
        <v>60</v>
      </c>
      <c r="AW3" s="13"/>
    </row>
    <row r="4" spans="1:49" x14ac:dyDescent="0.2">
      <c r="A4" s="12">
        <v>2</v>
      </c>
      <c r="B4" s="3">
        <v>38.387512999999998</v>
      </c>
      <c r="C4" s="3">
        <v>-28.321156999999999</v>
      </c>
      <c r="D4" s="6">
        <v>41923</v>
      </c>
      <c r="E4" s="7">
        <v>0.42614583333333328</v>
      </c>
      <c r="F4" s="7">
        <v>0.47423611111111108</v>
      </c>
      <c r="G4" s="7">
        <v>4.809027777777778E-2</v>
      </c>
      <c r="H4" s="3" t="s">
        <v>7</v>
      </c>
      <c r="I4" s="3" t="s">
        <v>4</v>
      </c>
      <c r="J4" s="3" t="s">
        <v>9</v>
      </c>
      <c r="K4" s="3">
        <v>1</v>
      </c>
      <c r="L4" s="3"/>
      <c r="M4" s="3">
        <v>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>
        <v>1</v>
      </c>
      <c r="AD4" s="3"/>
      <c r="AE4" s="3"/>
      <c r="AF4" s="3"/>
      <c r="AG4" s="3"/>
      <c r="AH4" s="3"/>
      <c r="AI4" s="3">
        <v>1</v>
      </c>
      <c r="AJ4" s="3"/>
      <c r="AK4" s="3"/>
      <c r="AL4" s="3"/>
      <c r="AM4" s="3">
        <v>1</v>
      </c>
      <c r="AN4" s="3"/>
      <c r="AO4" s="3"/>
      <c r="AP4" s="3"/>
      <c r="AQ4" s="3"/>
      <c r="AR4" s="3"/>
      <c r="AS4" s="3" t="s">
        <v>46</v>
      </c>
      <c r="AT4" s="3" t="s">
        <v>46</v>
      </c>
      <c r="AU4" s="3"/>
      <c r="AV4" s="3" t="s">
        <v>60</v>
      </c>
      <c r="AW4" s="13"/>
    </row>
    <row r="5" spans="1:49" x14ac:dyDescent="0.2">
      <c r="A5" s="12">
        <v>3</v>
      </c>
      <c r="B5" s="3">
        <v>38.308652000000002</v>
      </c>
      <c r="C5" s="3">
        <v>-28.128354000000002</v>
      </c>
      <c r="D5" s="6">
        <v>41937</v>
      </c>
      <c r="E5" s="7">
        <v>0.42900462962962965</v>
      </c>
      <c r="F5" s="7">
        <v>0.44991898148148146</v>
      </c>
      <c r="G5" s="7">
        <v>2.0914351851851851E-2</v>
      </c>
      <c r="H5" s="3" t="s">
        <v>10</v>
      </c>
      <c r="I5" s="3" t="s">
        <v>4</v>
      </c>
      <c r="J5" s="3" t="s">
        <v>12</v>
      </c>
      <c r="K5" s="3">
        <v>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5</v>
      </c>
      <c r="AC5" s="3">
        <v>5</v>
      </c>
      <c r="AD5" s="3"/>
      <c r="AE5" s="3"/>
      <c r="AF5" s="3"/>
      <c r="AG5" s="3"/>
      <c r="AH5" s="3"/>
      <c r="AI5" s="3"/>
      <c r="AJ5" s="3">
        <v>1</v>
      </c>
      <c r="AK5" s="3"/>
      <c r="AL5" s="3"/>
      <c r="AM5" s="3">
        <v>1</v>
      </c>
      <c r="AN5" s="3"/>
      <c r="AO5" s="3"/>
      <c r="AP5" s="3"/>
      <c r="AQ5" s="3"/>
      <c r="AR5" s="3"/>
      <c r="AS5" s="3" t="s">
        <v>46</v>
      </c>
      <c r="AT5" s="3" t="s">
        <v>46</v>
      </c>
      <c r="AU5" s="3"/>
      <c r="AV5" s="3" t="s">
        <v>60</v>
      </c>
      <c r="AW5" s="13"/>
    </row>
    <row r="6" spans="1:49" x14ac:dyDescent="0.2">
      <c r="A6" s="12">
        <v>4</v>
      </c>
      <c r="B6" s="3">
        <v>38.446832000000001</v>
      </c>
      <c r="C6" s="3">
        <v>-27.963609999999999</v>
      </c>
      <c r="D6" s="6">
        <v>42256</v>
      </c>
      <c r="E6" s="7">
        <v>0.53643518518518518</v>
      </c>
      <c r="F6" s="3"/>
      <c r="G6" s="7">
        <v>6.9444444444444447E-4</v>
      </c>
      <c r="H6" s="3" t="s">
        <v>13</v>
      </c>
      <c r="I6" s="3" t="s">
        <v>14</v>
      </c>
      <c r="J6" s="3" t="s">
        <v>14</v>
      </c>
      <c r="K6" s="3"/>
      <c r="L6" s="3"/>
      <c r="M6" s="3"/>
      <c r="N6" s="3"/>
      <c r="O6" s="3"/>
      <c r="P6" s="3">
        <v>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2</v>
      </c>
      <c r="AC6" s="3">
        <v>2</v>
      </c>
      <c r="AD6" s="3"/>
      <c r="AE6" s="3"/>
      <c r="AF6" s="3"/>
      <c r="AG6" s="3"/>
      <c r="AH6" s="3"/>
      <c r="AI6" s="3">
        <v>1</v>
      </c>
      <c r="AJ6" s="3"/>
      <c r="AK6" s="3"/>
      <c r="AL6" s="3"/>
      <c r="AM6" s="3">
        <v>1</v>
      </c>
      <c r="AN6" s="3"/>
      <c r="AO6" s="3"/>
      <c r="AP6" s="3"/>
      <c r="AQ6" s="3"/>
      <c r="AR6" s="3"/>
      <c r="AS6" s="3">
        <v>1</v>
      </c>
      <c r="AT6" s="3" t="s">
        <v>46</v>
      </c>
      <c r="AU6" s="3"/>
      <c r="AV6" s="3" t="s">
        <v>60</v>
      </c>
      <c r="AW6" s="13"/>
    </row>
    <row r="7" spans="1:49" x14ac:dyDescent="0.2">
      <c r="A7" s="12">
        <v>5</v>
      </c>
      <c r="B7" s="3">
        <v>38.428424</v>
      </c>
      <c r="C7" s="3">
        <v>-27.946709999999999</v>
      </c>
      <c r="D7" s="6">
        <v>42575</v>
      </c>
      <c r="E7" s="7">
        <v>0.48753472222222222</v>
      </c>
      <c r="F7" s="3"/>
      <c r="G7" s="7">
        <v>6.9444444444444447E-4</v>
      </c>
      <c r="H7" s="3" t="s">
        <v>15</v>
      </c>
      <c r="I7" s="3" t="s">
        <v>16</v>
      </c>
      <c r="J7" s="3" t="s">
        <v>16</v>
      </c>
      <c r="K7" s="3"/>
      <c r="L7" s="3"/>
      <c r="M7" s="3"/>
      <c r="N7" s="3"/>
      <c r="O7" s="3"/>
      <c r="P7" s="3"/>
      <c r="Q7" s="3"/>
      <c r="R7" s="3">
        <v>1</v>
      </c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>
        <v>1</v>
      </c>
      <c r="AD7" s="3"/>
      <c r="AE7" s="3"/>
      <c r="AF7" s="3"/>
      <c r="AG7" s="3"/>
      <c r="AH7" s="3"/>
      <c r="AI7" s="3">
        <v>1</v>
      </c>
      <c r="AJ7" s="3"/>
      <c r="AK7" s="3"/>
      <c r="AL7" s="3"/>
      <c r="AM7" s="3"/>
      <c r="AN7" s="3">
        <v>1</v>
      </c>
      <c r="AO7" s="3"/>
      <c r="AP7" s="3"/>
      <c r="AQ7" s="3"/>
      <c r="AR7" s="3"/>
      <c r="AS7" s="3">
        <v>3</v>
      </c>
      <c r="AT7" s="3" t="s">
        <v>46</v>
      </c>
      <c r="AU7" s="3"/>
      <c r="AV7" s="3" t="s">
        <v>60</v>
      </c>
      <c r="AW7" s="13"/>
    </row>
    <row r="8" spans="1:49" ht="17" thickBot="1" x14ac:dyDescent="0.25">
      <c r="A8" s="14">
        <v>6</v>
      </c>
      <c r="B8" s="15">
        <v>38.291217000000003</v>
      </c>
      <c r="C8" s="15">
        <v>-27.951639</v>
      </c>
      <c r="D8" s="16">
        <v>42614</v>
      </c>
      <c r="E8" s="17">
        <v>0.64223379629629629</v>
      </c>
      <c r="F8" s="15"/>
      <c r="G8" s="17">
        <v>6.9444444444444447E-4</v>
      </c>
      <c r="H8" s="15" t="s">
        <v>17</v>
      </c>
      <c r="I8" s="15" t="s">
        <v>18</v>
      </c>
      <c r="J8" s="15" t="s">
        <v>18</v>
      </c>
      <c r="K8" s="15"/>
      <c r="L8" s="15"/>
      <c r="M8" s="15"/>
      <c r="N8" s="15"/>
      <c r="O8" s="15">
        <v>1</v>
      </c>
      <c r="P8" s="15"/>
      <c r="Q8" s="15"/>
      <c r="R8" s="15"/>
      <c r="S8" s="15"/>
      <c r="T8" s="15"/>
      <c r="U8" s="15"/>
      <c r="V8" s="15">
        <v>1</v>
      </c>
      <c r="W8" s="15"/>
      <c r="X8" s="15"/>
      <c r="Y8" s="15">
        <v>1</v>
      </c>
      <c r="Z8" s="15"/>
      <c r="AA8" s="15">
        <v>4</v>
      </c>
      <c r="AB8" s="15">
        <v>4</v>
      </c>
      <c r="AC8" s="15"/>
      <c r="AD8" s="15"/>
      <c r="AE8" s="15"/>
      <c r="AF8" s="15"/>
      <c r="AG8" s="15"/>
      <c r="AH8" s="15">
        <v>1</v>
      </c>
      <c r="AI8" s="15"/>
      <c r="AJ8" s="15"/>
      <c r="AK8" s="15"/>
      <c r="AL8" s="15"/>
      <c r="AM8" s="15">
        <v>1</v>
      </c>
      <c r="AN8" s="15"/>
      <c r="AO8" s="15"/>
      <c r="AP8" s="15"/>
      <c r="AQ8" s="15"/>
      <c r="AR8" s="15">
        <v>1</v>
      </c>
      <c r="AS8" s="15" t="s">
        <v>46</v>
      </c>
      <c r="AT8" s="15"/>
      <c r="AU8" s="15" t="s">
        <v>60</v>
      </c>
      <c r="AV8" s="15"/>
      <c r="AW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627A-3FD7-1D4A-A2B8-38E8D920D2C9}">
  <dimension ref="A1:F7"/>
  <sheetViews>
    <sheetView workbookViewId="0">
      <selection sqref="A1:F1048576"/>
    </sheetView>
  </sheetViews>
  <sheetFormatPr baseColWidth="10" defaultRowHeight="16" x14ac:dyDescent="0.2"/>
  <cols>
    <col min="6" max="6" width="15.83203125" bestFit="1" customWidth="1"/>
  </cols>
  <sheetData>
    <row r="1" spans="1:6" x14ac:dyDescent="0.2">
      <c r="A1" s="8" t="s">
        <v>19</v>
      </c>
      <c r="B1" s="9" t="s">
        <v>0</v>
      </c>
      <c r="C1" s="9" t="s">
        <v>1</v>
      </c>
      <c r="D1" s="9" t="s">
        <v>20</v>
      </c>
      <c r="E1" s="9" t="s">
        <v>61</v>
      </c>
      <c r="F1" s="11" t="s">
        <v>2</v>
      </c>
    </row>
    <row r="2" spans="1:6" x14ac:dyDescent="0.2">
      <c r="A2" s="12">
        <v>1</v>
      </c>
      <c r="B2" s="3">
        <v>38.438028000000003</v>
      </c>
      <c r="C2" s="3">
        <v>-27.879705999999999</v>
      </c>
      <c r="D2" s="6">
        <v>41158</v>
      </c>
      <c r="E2" s="7">
        <v>0.69721064814814815</v>
      </c>
      <c r="F2" s="13" t="s">
        <v>3</v>
      </c>
    </row>
    <row r="3" spans="1:6" x14ac:dyDescent="0.2">
      <c r="A3" s="12">
        <v>2</v>
      </c>
      <c r="B3" s="3">
        <v>38.387512999999998</v>
      </c>
      <c r="C3" s="3">
        <v>-28.321156999999999</v>
      </c>
      <c r="D3" s="6">
        <v>41923</v>
      </c>
      <c r="E3" s="7">
        <v>0.42614583333333328</v>
      </c>
      <c r="F3" s="13" t="s">
        <v>7</v>
      </c>
    </row>
    <row r="4" spans="1:6" x14ac:dyDescent="0.2">
      <c r="A4" s="12">
        <v>3</v>
      </c>
      <c r="B4" s="3">
        <v>38.308652000000002</v>
      </c>
      <c r="C4" s="3">
        <v>-28.128354000000002</v>
      </c>
      <c r="D4" s="6">
        <v>41937</v>
      </c>
      <c r="E4" s="7">
        <v>0.42900462962962965</v>
      </c>
      <c r="F4" s="13" t="s">
        <v>10</v>
      </c>
    </row>
    <row r="5" spans="1:6" x14ac:dyDescent="0.2">
      <c r="A5" s="12">
        <v>4</v>
      </c>
      <c r="B5" s="3">
        <v>38.446832000000001</v>
      </c>
      <c r="C5" s="3">
        <v>-27.963609999999999</v>
      </c>
      <c r="D5" s="6">
        <v>42256</v>
      </c>
      <c r="E5" s="7">
        <v>0.53643518518518518</v>
      </c>
      <c r="F5" s="13" t="s">
        <v>13</v>
      </c>
    </row>
    <row r="6" spans="1:6" x14ac:dyDescent="0.2">
      <c r="A6" s="12">
        <v>5</v>
      </c>
      <c r="B6" s="3">
        <v>38.428424</v>
      </c>
      <c r="C6" s="3">
        <v>-27.946709999999999</v>
      </c>
      <c r="D6" s="6">
        <v>42575</v>
      </c>
      <c r="E6" s="7">
        <v>0.48753472222222222</v>
      </c>
      <c r="F6" s="13" t="s">
        <v>15</v>
      </c>
    </row>
    <row r="7" spans="1:6" ht="17" thickBot="1" x14ac:dyDescent="0.25">
      <c r="A7" s="14">
        <v>6</v>
      </c>
      <c r="B7" s="15">
        <v>38.291217000000003</v>
      </c>
      <c r="C7" s="15">
        <v>-27.951639</v>
      </c>
      <c r="D7" s="16">
        <v>42614</v>
      </c>
      <c r="E7" s="17">
        <v>0.64223379629629629</v>
      </c>
      <c r="F7" s="18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638C-805C-544D-ACAD-97784866731D}">
  <dimension ref="A1:AZ8"/>
  <sheetViews>
    <sheetView tabSelected="1" workbookViewId="0">
      <selection activeCell="I11" sqref="I11"/>
    </sheetView>
  </sheetViews>
  <sheetFormatPr baseColWidth="10" defaultRowHeight="16" x14ac:dyDescent="0.2"/>
  <sheetData>
    <row r="1" spans="1:52" ht="18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 t="s">
        <v>23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 t="s">
        <v>24</v>
      </c>
      <c r="AF1" s="10"/>
      <c r="AG1" s="10"/>
      <c r="AH1" s="10"/>
      <c r="AI1" s="10"/>
      <c r="AJ1" s="10" t="s">
        <v>25</v>
      </c>
      <c r="AK1" s="10"/>
      <c r="AL1" s="10"/>
      <c r="AM1" s="10" t="s">
        <v>26</v>
      </c>
      <c r="AN1" s="10"/>
      <c r="AO1" s="10"/>
      <c r="AP1" s="10"/>
      <c r="AQ1" s="10"/>
      <c r="AR1" s="10"/>
      <c r="AS1" s="10"/>
      <c r="AT1" s="9"/>
      <c r="AU1" s="9"/>
      <c r="AV1" s="9"/>
      <c r="AW1" s="9"/>
      <c r="AX1" s="9"/>
      <c r="AY1" s="9"/>
      <c r="AZ1" s="11"/>
    </row>
    <row r="2" spans="1:52" ht="18" x14ac:dyDescent="0.2">
      <c r="A2" s="12" t="s">
        <v>19</v>
      </c>
      <c r="B2" s="3" t="s">
        <v>0</v>
      </c>
      <c r="C2" s="3" t="s">
        <v>1</v>
      </c>
      <c r="D2" s="3" t="s">
        <v>20</v>
      </c>
      <c r="E2" s="19" t="s">
        <v>74</v>
      </c>
      <c r="F2" s="21" t="s">
        <v>75</v>
      </c>
      <c r="G2" s="21" t="s">
        <v>76</v>
      </c>
      <c r="H2" s="3" t="s">
        <v>77</v>
      </c>
      <c r="I2" s="3" t="s">
        <v>78</v>
      </c>
      <c r="J2" s="3" t="s">
        <v>29</v>
      </c>
      <c r="K2" s="3" t="s">
        <v>2</v>
      </c>
      <c r="L2" s="3" t="s">
        <v>22</v>
      </c>
      <c r="M2" s="3"/>
      <c r="N2" s="5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45</v>
      </c>
      <c r="AD2" s="4" t="s">
        <v>46</v>
      </c>
      <c r="AE2" s="4" t="s">
        <v>47</v>
      </c>
      <c r="AF2" s="4" t="s">
        <v>48</v>
      </c>
      <c r="AG2" s="4" t="s">
        <v>49</v>
      </c>
      <c r="AH2" s="4" t="s">
        <v>50</v>
      </c>
      <c r="AI2" s="4" t="s">
        <v>51</v>
      </c>
      <c r="AJ2" s="4" t="s">
        <v>46</v>
      </c>
      <c r="AK2" s="4" t="s">
        <v>52</v>
      </c>
      <c r="AL2" s="4" t="s">
        <v>53</v>
      </c>
      <c r="AM2" s="4" t="s">
        <v>54</v>
      </c>
      <c r="AN2" s="4" t="s">
        <v>55</v>
      </c>
      <c r="AO2" s="4">
        <v>0</v>
      </c>
      <c r="AP2" s="4">
        <v>1</v>
      </c>
      <c r="AQ2" s="4">
        <v>2</v>
      </c>
      <c r="AR2" s="4">
        <v>3</v>
      </c>
      <c r="AS2" s="4">
        <v>4</v>
      </c>
      <c r="AT2" s="4">
        <v>5</v>
      </c>
      <c r="AU2" s="4" t="s">
        <v>46</v>
      </c>
      <c r="AV2" s="4" t="s">
        <v>56</v>
      </c>
      <c r="AW2" s="4" t="s">
        <v>57</v>
      </c>
      <c r="AX2" s="4" t="s">
        <v>58</v>
      </c>
      <c r="AY2" s="4" t="s">
        <v>59</v>
      </c>
      <c r="AZ2" s="13"/>
    </row>
    <row r="3" spans="1:52" x14ac:dyDescent="0.2">
      <c r="A3" s="12">
        <v>1</v>
      </c>
      <c r="B3" s="3">
        <v>38.438028000000003</v>
      </c>
      <c r="C3" s="3">
        <v>-27.879705999999999</v>
      </c>
      <c r="D3" s="6">
        <v>41158</v>
      </c>
      <c r="E3" s="19" t="s">
        <v>62</v>
      </c>
      <c r="F3" s="19" t="s">
        <v>63</v>
      </c>
      <c r="G3" s="19" t="s">
        <v>64</v>
      </c>
      <c r="H3" s="7">
        <v>0.69721064814814815</v>
      </c>
      <c r="I3" s="7">
        <v>0.70825231481481488</v>
      </c>
      <c r="J3" s="7">
        <v>1.1041666666666667E-2</v>
      </c>
      <c r="K3" s="3" t="s">
        <v>3</v>
      </c>
      <c r="L3" s="3" t="s">
        <v>4</v>
      </c>
      <c r="M3" s="3" t="s">
        <v>6</v>
      </c>
      <c r="N3" s="3"/>
      <c r="O3" s="3"/>
      <c r="P3" s="3"/>
      <c r="Q3" s="3"/>
      <c r="R3" s="3"/>
      <c r="S3" s="3">
        <v>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4</v>
      </c>
      <c r="AF3" s="3">
        <v>4</v>
      </c>
      <c r="AG3" s="3"/>
      <c r="AH3" s="3"/>
      <c r="AI3" s="3"/>
      <c r="AJ3" s="3"/>
      <c r="AK3" s="3"/>
      <c r="AL3" s="3">
        <v>1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 t="s">
        <v>46</v>
      </c>
      <c r="AW3" s="3" t="s">
        <v>46</v>
      </c>
      <c r="AX3" s="3"/>
      <c r="AY3" s="3" t="s">
        <v>60</v>
      </c>
      <c r="AZ3" s="13"/>
    </row>
    <row r="4" spans="1:52" x14ac:dyDescent="0.2">
      <c r="A4" s="12">
        <v>2</v>
      </c>
      <c r="B4" s="3">
        <v>38.387512999999998</v>
      </c>
      <c r="C4" s="3">
        <v>-28.321156999999999</v>
      </c>
      <c r="D4" s="6">
        <v>41923</v>
      </c>
      <c r="E4" s="19" t="s">
        <v>65</v>
      </c>
      <c r="F4" s="19" t="s">
        <v>66</v>
      </c>
      <c r="G4" s="19" t="s">
        <v>67</v>
      </c>
      <c r="H4" s="7">
        <v>0.42614583333333328</v>
      </c>
      <c r="I4" s="7">
        <v>0.47423611111111108</v>
      </c>
      <c r="J4" s="7">
        <v>4.809027777777778E-2</v>
      </c>
      <c r="K4" s="3" t="s">
        <v>7</v>
      </c>
      <c r="L4" s="3" t="s">
        <v>4</v>
      </c>
      <c r="M4" s="3" t="s">
        <v>9</v>
      </c>
      <c r="N4" s="3">
        <v>1</v>
      </c>
      <c r="O4" s="3"/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1</v>
      </c>
      <c r="AF4" s="3">
        <v>1</v>
      </c>
      <c r="AG4" s="3"/>
      <c r="AH4" s="3"/>
      <c r="AI4" s="3"/>
      <c r="AJ4" s="3"/>
      <c r="AK4" s="3"/>
      <c r="AL4" s="3">
        <v>1</v>
      </c>
      <c r="AM4" s="3"/>
      <c r="AN4" s="3"/>
      <c r="AO4" s="3"/>
      <c r="AP4" s="3">
        <v>1</v>
      </c>
      <c r="AQ4" s="3"/>
      <c r="AR4" s="3"/>
      <c r="AS4" s="3"/>
      <c r="AT4" s="3"/>
      <c r="AU4" s="3"/>
      <c r="AV4" s="3" t="s">
        <v>46</v>
      </c>
      <c r="AW4" s="3" t="s">
        <v>46</v>
      </c>
      <c r="AX4" s="3"/>
      <c r="AY4" s="3" t="s">
        <v>60</v>
      </c>
      <c r="AZ4" s="13"/>
    </row>
    <row r="5" spans="1:52" x14ac:dyDescent="0.2">
      <c r="A5" s="12">
        <v>3</v>
      </c>
      <c r="B5" s="3">
        <v>38.308652000000002</v>
      </c>
      <c r="C5" s="3">
        <v>-28.128354000000002</v>
      </c>
      <c r="D5" s="6">
        <v>41937</v>
      </c>
      <c r="E5" s="19" t="s">
        <v>68</v>
      </c>
      <c r="F5" s="19" t="s">
        <v>66</v>
      </c>
      <c r="G5" s="19" t="s">
        <v>67</v>
      </c>
      <c r="H5" s="7">
        <v>0.42900462962962965</v>
      </c>
      <c r="I5" s="7">
        <v>0.44991898148148146</v>
      </c>
      <c r="J5" s="7">
        <v>2.0914351851851851E-2</v>
      </c>
      <c r="K5" s="3" t="s">
        <v>10</v>
      </c>
      <c r="L5" s="3" t="s">
        <v>4</v>
      </c>
      <c r="M5" s="3" t="s">
        <v>12</v>
      </c>
      <c r="N5" s="3">
        <v>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5</v>
      </c>
      <c r="AF5" s="3">
        <v>5</v>
      </c>
      <c r="AG5" s="3"/>
      <c r="AH5" s="3"/>
      <c r="AI5" s="3"/>
      <c r="AJ5" s="3"/>
      <c r="AK5" s="3"/>
      <c r="AL5" s="3"/>
      <c r="AM5" s="3">
        <v>1</v>
      </c>
      <c r="AN5" s="3"/>
      <c r="AO5" s="3"/>
      <c r="AP5" s="3">
        <v>1</v>
      </c>
      <c r="AQ5" s="3"/>
      <c r="AR5" s="3"/>
      <c r="AS5" s="3"/>
      <c r="AT5" s="3"/>
      <c r="AU5" s="3"/>
      <c r="AV5" s="3" t="s">
        <v>46</v>
      </c>
      <c r="AW5" s="3" t="s">
        <v>46</v>
      </c>
      <c r="AX5" s="3"/>
      <c r="AY5" s="3" t="s">
        <v>60</v>
      </c>
      <c r="AZ5" s="13"/>
    </row>
    <row r="6" spans="1:52" x14ac:dyDescent="0.2">
      <c r="A6" s="12">
        <v>4</v>
      </c>
      <c r="B6" s="3">
        <v>38.446832000000001</v>
      </c>
      <c r="C6" s="3">
        <v>-27.963609999999999</v>
      </c>
      <c r="D6" s="6">
        <v>42256</v>
      </c>
      <c r="E6" s="19" t="s">
        <v>63</v>
      </c>
      <c r="F6" s="19" t="s">
        <v>63</v>
      </c>
      <c r="G6" s="19" t="s">
        <v>69</v>
      </c>
      <c r="H6" s="7">
        <v>0.53643518518518518</v>
      </c>
      <c r="I6" s="3"/>
      <c r="J6" s="7">
        <v>6.9444444444444447E-4</v>
      </c>
      <c r="K6" s="3" t="s">
        <v>13</v>
      </c>
      <c r="L6" s="3" t="s">
        <v>14</v>
      </c>
      <c r="M6" s="3" t="s">
        <v>14</v>
      </c>
      <c r="N6" s="3"/>
      <c r="O6" s="3"/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2</v>
      </c>
      <c r="AF6" s="3">
        <v>2</v>
      </c>
      <c r="AG6" s="3"/>
      <c r="AH6" s="3"/>
      <c r="AI6" s="3"/>
      <c r="AJ6" s="3"/>
      <c r="AK6" s="3"/>
      <c r="AL6" s="3">
        <v>1</v>
      </c>
      <c r="AM6" s="3"/>
      <c r="AN6" s="3"/>
      <c r="AO6" s="3"/>
      <c r="AP6" s="3">
        <v>1</v>
      </c>
      <c r="AQ6" s="3"/>
      <c r="AR6" s="3"/>
      <c r="AS6" s="3"/>
      <c r="AT6" s="3"/>
      <c r="AU6" s="3"/>
      <c r="AV6" s="3">
        <v>1</v>
      </c>
      <c r="AW6" s="3" t="s">
        <v>46</v>
      </c>
      <c r="AX6" s="3"/>
      <c r="AY6" s="3" t="s">
        <v>60</v>
      </c>
      <c r="AZ6" s="13"/>
    </row>
    <row r="7" spans="1:52" x14ac:dyDescent="0.2">
      <c r="A7" s="12">
        <v>5</v>
      </c>
      <c r="B7" s="3">
        <v>38.428424</v>
      </c>
      <c r="C7" s="3">
        <v>-27.946709999999999</v>
      </c>
      <c r="D7" s="6">
        <v>42575</v>
      </c>
      <c r="E7" s="19" t="s">
        <v>70</v>
      </c>
      <c r="F7" s="19" t="s">
        <v>71</v>
      </c>
      <c r="G7" s="19" t="s">
        <v>72</v>
      </c>
      <c r="H7" s="7">
        <v>0.48753472222222222</v>
      </c>
      <c r="I7" s="3"/>
      <c r="J7" s="7">
        <v>6.9444444444444447E-4</v>
      </c>
      <c r="K7" s="3" t="s">
        <v>15</v>
      </c>
      <c r="L7" s="3" t="s">
        <v>16</v>
      </c>
      <c r="M7" s="3" t="s">
        <v>16</v>
      </c>
      <c r="N7" s="3"/>
      <c r="O7" s="3"/>
      <c r="P7" s="3"/>
      <c r="Q7" s="3"/>
      <c r="R7" s="3"/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>
        <v>1</v>
      </c>
      <c r="AF7" s="3">
        <v>1</v>
      </c>
      <c r="AG7" s="3"/>
      <c r="AH7" s="3"/>
      <c r="AI7" s="3"/>
      <c r="AJ7" s="3"/>
      <c r="AK7" s="3"/>
      <c r="AL7" s="3">
        <v>1</v>
      </c>
      <c r="AM7" s="3"/>
      <c r="AN7" s="3"/>
      <c r="AO7" s="3"/>
      <c r="AP7" s="3"/>
      <c r="AQ7" s="3">
        <v>1</v>
      </c>
      <c r="AR7" s="3"/>
      <c r="AS7" s="3"/>
      <c r="AT7" s="3"/>
      <c r="AU7" s="3"/>
      <c r="AV7" s="3">
        <v>3</v>
      </c>
      <c r="AW7" s="3" t="s">
        <v>46</v>
      </c>
      <c r="AX7" s="3"/>
      <c r="AY7" s="3" t="s">
        <v>60</v>
      </c>
      <c r="AZ7" s="13"/>
    </row>
    <row r="8" spans="1:52" ht="17" thickBot="1" x14ac:dyDescent="0.25">
      <c r="A8" s="14">
        <v>6</v>
      </c>
      <c r="B8" s="15">
        <v>38.291217000000003</v>
      </c>
      <c r="C8" s="15">
        <v>-27.951639</v>
      </c>
      <c r="D8" s="16">
        <v>42614</v>
      </c>
      <c r="E8" s="20" t="s">
        <v>73</v>
      </c>
      <c r="F8" s="20" t="s">
        <v>63</v>
      </c>
      <c r="G8" s="20" t="s">
        <v>72</v>
      </c>
      <c r="H8" s="17">
        <v>0.64223379629629629</v>
      </c>
      <c r="I8" s="15"/>
      <c r="J8" s="17">
        <v>6.9444444444444447E-4</v>
      </c>
      <c r="K8" s="15" t="s">
        <v>17</v>
      </c>
      <c r="L8" s="15" t="s">
        <v>18</v>
      </c>
      <c r="M8" s="15" t="s">
        <v>18</v>
      </c>
      <c r="N8" s="15"/>
      <c r="O8" s="15"/>
      <c r="P8" s="15"/>
      <c r="Q8" s="15"/>
      <c r="R8" s="15">
        <v>1</v>
      </c>
      <c r="S8" s="15"/>
      <c r="T8" s="15"/>
      <c r="U8" s="15"/>
      <c r="V8" s="15"/>
      <c r="W8" s="15"/>
      <c r="X8" s="15"/>
      <c r="Y8" s="15">
        <v>1</v>
      </c>
      <c r="Z8" s="15"/>
      <c r="AA8" s="15"/>
      <c r="AB8" s="15">
        <v>1</v>
      </c>
      <c r="AC8" s="15"/>
      <c r="AD8" s="15"/>
      <c r="AE8" s="15">
        <v>4</v>
      </c>
      <c r="AF8" s="15">
        <v>4</v>
      </c>
      <c r="AG8" s="15"/>
      <c r="AH8" s="15"/>
      <c r="AI8" s="15"/>
      <c r="AJ8" s="15"/>
      <c r="AK8" s="15">
        <v>1</v>
      </c>
      <c r="AL8" s="15"/>
      <c r="AM8" s="15"/>
      <c r="AN8" s="15"/>
      <c r="AO8" s="15"/>
      <c r="AP8" s="15">
        <v>1</v>
      </c>
      <c r="AQ8" s="15"/>
      <c r="AR8" s="15"/>
      <c r="AS8" s="15"/>
      <c r="AT8" s="15"/>
      <c r="AU8" s="15">
        <v>1</v>
      </c>
      <c r="AV8" s="15" t="s">
        <v>46</v>
      </c>
      <c r="AW8" s="15"/>
      <c r="AX8" s="15" t="s">
        <v>60</v>
      </c>
      <c r="AY8" s="15" t="s">
        <v>60</v>
      </c>
      <c r="AZ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2019-07-29T20:11:48Z</dcterms:created>
  <dcterms:modified xsi:type="dcterms:W3CDTF">2023-12-19T12:17:47Z</dcterms:modified>
</cp:coreProperties>
</file>