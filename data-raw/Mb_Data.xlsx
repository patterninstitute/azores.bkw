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santos/Desktop/azores.breeding-main/data-raw/"/>
    </mc:Choice>
  </mc:AlternateContent>
  <xr:revisionPtr revIDLastSave="0" documentId="13_ncr:1_{4C680416-272F-3544-A77C-A25DC3A4BD9B}" xr6:coauthVersionLast="47" xr6:coauthVersionMax="47" xr10:uidLastSave="{00000000-0000-0000-0000-000000000000}"/>
  <bookViews>
    <workbookView xWindow="2640" yWindow="760" windowWidth="25880" windowHeight="16060" activeTab="3" xr2:uid="{ED0F7DAA-B19A-7046-AA1E-76ABDDFC0F70}"/>
  </bookViews>
  <sheets>
    <sheet name="All" sheetId="1" r:id="rId1"/>
    <sheet name="Análise" sheetId="2" r:id="rId2"/>
    <sheet name="Posições" sheetId="3" r:id="rId3"/>
    <sheet name="Data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4" i="4" l="1"/>
  <c r="J93" i="4"/>
  <c r="C93" i="4"/>
  <c r="J92" i="4"/>
  <c r="C92" i="4"/>
  <c r="J91" i="4"/>
  <c r="C91" i="4"/>
  <c r="J90" i="4"/>
  <c r="C90" i="4"/>
  <c r="J89" i="4"/>
  <c r="C89" i="4"/>
  <c r="J88" i="4"/>
  <c r="C88" i="4"/>
  <c r="C87" i="4"/>
  <c r="J86" i="4"/>
  <c r="C86" i="4"/>
  <c r="C85" i="4"/>
  <c r="J84" i="4"/>
  <c r="C84" i="4"/>
  <c r="J83" i="4"/>
  <c r="C83" i="4"/>
  <c r="J82" i="4"/>
  <c r="C82" i="4"/>
  <c r="J81" i="4"/>
  <c r="C81" i="4"/>
  <c r="J80" i="4"/>
  <c r="C80" i="4"/>
  <c r="J79" i="4"/>
  <c r="C79" i="4"/>
  <c r="C78" i="4"/>
  <c r="C77" i="4"/>
  <c r="J76" i="4"/>
  <c r="C76" i="4"/>
  <c r="J75" i="4"/>
  <c r="C75" i="4"/>
  <c r="J74" i="4"/>
  <c r="C74" i="4"/>
  <c r="C73" i="4"/>
  <c r="J72" i="4"/>
  <c r="C72" i="4"/>
  <c r="C71" i="4"/>
  <c r="C70" i="4"/>
  <c r="C69" i="4"/>
  <c r="C68" i="4"/>
  <c r="J67" i="4"/>
  <c r="C67" i="4"/>
  <c r="C66" i="4"/>
  <c r="C65" i="4"/>
  <c r="J64" i="4"/>
  <c r="C64" i="4"/>
  <c r="C63" i="4"/>
  <c r="C62" i="4"/>
  <c r="C61" i="4"/>
  <c r="C60" i="4"/>
  <c r="J59" i="4"/>
  <c r="C59" i="4"/>
  <c r="C58" i="4"/>
  <c r="J57" i="4"/>
  <c r="C57" i="4"/>
  <c r="J56" i="4"/>
  <c r="C56" i="4"/>
  <c r="C55" i="4"/>
  <c r="C54" i="4"/>
  <c r="C53" i="4"/>
  <c r="J52" i="4"/>
  <c r="C52" i="4"/>
  <c r="C51" i="4"/>
  <c r="C50" i="4"/>
  <c r="C49" i="4"/>
  <c r="C48" i="4"/>
  <c r="C47" i="4"/>
  <c r="J46" i="4"/>
  <c r="C46" i="4"/>
  <c r="C45" i="4"/>
  <c r="C44" i="4"/>
  <c r="J43" i="4"/>
  <c r="C43" i="4"/>
  <c r="J42" i="4"/>
  <c r="C42" i="4"/>
  <c r="C41" i="4"/>
  <c r="C40" i="4"/>
  <c r="C39" i="4"/>
  <c r="J38" i="4"/>
  <c r="C38" i="4"/>
  <c r="J37" i="4"/>
  <c r="C37" i="4"/>
  <c r="J36" i="4"/>
  <c r="C36" i="4"/>
  <c r="C35" i="4"/>
  <c r="C34" i="4"/>
  <c r="C33" i="4"/>
  <c r="C32" i="4"/>
  <c r="C31" i="4"/>
  <c r="J30" i="4"/>
  <c r="C30" i="4"/>
  <c r="C29" i="4"/>
  <c r="J28" i="4"/>
  <c r="C28" i="4"/>
  <c r="J27" i="4"/>
  <c r="C27" i="4"/>
  <c r="C26" i="4"/>
  <c r="C25" i="4"/>
  <c r="C24" i="4"/>
  <c r="C23" i="4"/>
  <c r="C22" i="4"/>
  <c r="C21" i="4"/>
  <c r="C20" i="4"/>
  <c r="C19" i="4"/>
  <c r="C18" i="4"/>
  <c r="J17" i="4"/>
  <c r="C17" i="4"/>
  <c r="J16" i="4"/>
  <c r="C16" i="4"/>
  <c r="J15" i="4"/>
  <c r="C15" i="4"/>
  <c r="J14" i="4"/>
  <c r="C14" i="4"/>
  <c r="J13" i="4"/>
  <c r="C13" i="4"/>
  <c r="J12" i="4"/>
  <c r="C12" i="4"/>
  <c r="J11" i="4"/>
  <c r="C11" i="4"/>
  <c r="C10" i="4"/>
  <c r="C9" i="4"/>
  <c r="J8" i="4"/>
  <c r="C8" i="4"/>
  <c r="J7" i="4"/>
  <c r="C7" i="4"/>
  <c r="J6" i="4"/>
  <c r="C6" i="4"/>
  <c r="J5" i="4"/>
  <c r="C5" i="4"/>
  <c r="J4" i="4"/>
  <c r="C4" i="4"/>
  <c r="C3" i="4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G3" i="2" l="1"/>
  <c r="G4" i="2"/>
  <c r="G5" i="2"/>
  <c r="G6" i="2"/>
  <c r="G7" i="2"/>
  <c r="G10" i="2"/>
  <c r="G11" i="2"/>
  <c r="G12" i="2"/>
  <c r="G13" i="2"/>
  <c r="G14" i="2"/>
  <c r="G15" i="2"/>
  <c r="G16" i="2"/>
  <c r="G26" i="2"/>
  <c r="G27" i="2"/>
  <c r="G29" i="2"/>
  <c r="G35" i="2"/>
  <c r="G36" i="2"/>
  <c r="G37" i="2"/>
  <c r="G41" i="2"/>
  <c r="G42" i="2"/>
  <c r="G45" i="2"/>
  <c r="G51" i="2"/>
  <c r="G55" i="2"/>
  <c r="G56" i="2"/>
  <c r="G58" i="2"/>
  <c r="G63" i="2"/>
  <c r="G66" i="2"/>
  <c r="G71" i="2"/>
  <c r="G73" i="2"/>
  <c r="G74" i="2"/>
  <c r="G75" i="2"/>
  <c r="G78" i="2"/>
  <c r="G79" i="2"/>
  <c r="G80" i="2"/>
  <c r="G81" i="2"/>
  <c r="G82" i="2"/>
  <c r="G83" i="2"/>
  <c r="G85" i="2"/>
  <c r="G87" i="2"/>
  <c r="G88" i="2"/>
  <c r="G89" i="2"/>
  <c r="G90" i="2"/>
  <c r="G91" i="2"/>
  <c r="G92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T144" i="1" l="1"/>
  <c r="T143" i="1"/>
  <c r="T142" i="1"/>
  <c r="T141" i="1"/>
  <c r="T140" i="1"/>
  <c r="T139" i="1"/>
  <c r="T138" i="1"/>
  <c r="C138" i="1" l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<sst xmlns="http://schemas.openxmlformats.org/spreadsheetml/2006/main" count="2206" uniqueCount="315">
  <si>
    <t>lat</t>
  </si>
  <si>
    <t>lon</t>
  </si>
  <si>
    <t>name</t>
  </si>
  <si>
    <t>MB_20120702.01</t>
  </si>
  <si>
    <t>MB TS 5 I 1</t>
  </si>
  <si>
    <t>MB_20120704.01B</t>
  </si>
  <si>
    <t>PM FO 1 MB</t>
  </si>
  <si>
    <t>MB_20120704.01E</t>
  </si>
  <si>
    <t>MB NI 6 I NI</t>
  </si>
  <si>
    <t>MB_20120704.02B</t>
  </si>
  <si>
    <t>MB</t>
  </si>
  <si>
    <t>MB_20120704.02E</t>
  </si>
  <si>
    <t>MB NI 8 NI NI</t>
  </si>
  <si>
    <t>MB_20120709.01B</t>
  </si>
  <si>
    <t>M</t>
  </si>
  <si>
    <t>MB_20120709.01E</t>
  </si>
  <si>
    <t>MB_20120710.01B</t>
  </si>
  <si>
    <t>MB_20120710.01E</t>
  </si>
  <si>
    <t>MB NI 10 2 NI NI</t>
  </si>
  <si>
    <t>MB_20120718.01B</t>
  </si>
  <si>
    <t>MB_20120718.01E</t>
  </si>
  <si>
    <t>MB TS 7 I 1</t>
  </si>
  <si>
    <t>MB_20120719.01</t>
  </si>
  <si>
    <t>MB TS H 5 I 2</t>
  </si>
  <si>
    <t>MB_20120721.01</t>
  </si>
  <si>
    <t>MB_20120722.01B</t>
  </si>
  <si>
    <t>MB_20120722.01E</t>
  </si>
  <si>
    <t>MB TS 6 1 E 1</t>
  </si>
  <si>
    <t>MB_20120731.01B</t>
  </si>
  <si>
    <t>MB_20120731.01E</t>
  </si>
  <si>
    <t>MB TA 6 I 3</t>
  </si>
  <si>
    <t>MB_20120801.01B</t>
  </si>
  <si>
    <t>MB_20120801.01E</t>
  </si>
  <si>
    <t>MB TF 8 E 2</t>
  </si>
  <si>
    <t>MB_20120802.01B</t>
  </si>
  <si>
    <t>MB_20120802.01E</t>
  </si>
  <si>
    <t>MB TS 5 E 1</t>
  </si>
  <si>
    <t>MB_20120802.02B</t>
  </si>
  <si>
    <t>MB_20120802.02E</t>
  </si>
  <si>
    <t>MB TA SO 20   2 I 1</t>
  </si>
  <si>
    <t>MB_20120817.01B</t>
  </si>
  <si>
    <t>MB_20120817.01E</t>
  </si>
  <si>
    <t>MB TS 4 I 4</t>
  </si>
  <si>
    <t>MB_20120823.01B</t>
  </si>
  <si>
    <t>MB_20120823.01E</t>
  </si>
  <si>
    <t>MB TA SO 10 2 I 2</t>
  </si>
  <si>
    <t>MB_20120824.01</t>
  </si>
  <si>
    <t>MB TS H 6 I 1</t>
  </si>
  <si>
    <t>MB_20120825.01</t>
  </si>
  <si>
    <t>MB  TS 6 I 2</t>
  </si>
  <si>
    <t>MB_20120827.01</t>
  </si>
  <si>
    <t>MB TS 5 A 2</t>
  </si>
  <si>
    <t>MB_20120827.02</t>
  </si>
  <si>
    <t>MB TS 4 I 2</t>
  </si>
  <si>
    <t>MB_20120828.01</t>
  </si>
  <si>
    <t>MB TS 4 I 1</t>
  </si>
  <si>
    <t>MB_20120831.01</t>
  </si>
  <si>
    <t>MB TS 3 I 2</t>
  </si>
  <si>
    <t>MB_20120903.01</t>
  </si>
  <si>
    <t>MB TS 2 I 1</t>
  </si>
  <si>
    <t>MB_20120907.01</t>
  </si>
  <si>
    <t>MB TA 2 I 2</t>
  </si>
  <si>
    <t>MB_20120907.02</t>
  </si>
  <si>
    <t>MB_20130704.01B</t>
  </si>
  <si>
    <t>MB_20130704.01E</t>
  </si>
  <si>
    <t>MB BS TA 15  5</t>
  </si>
  <si>
    <t>MB_20130707.01B</t>
  </si>
  <si>
    <t>MB_20130707.01E</t>
  </si>
  <si>
    <t>MB TS 15  5</t>
  </si>
  <si>
    <t>MB_20130710.01</t>
  </si>
  <si>
    <t>MB TS 2  1</t>
  </si>
  <si>
    <t>MB_20130712.01B</t>
  </si>
  <si>
    <t>MB_20130712.01E</t>
  </si>
  <si>
    <t>MB TA 6   2</t>
  </si>
  <si>
    <t>MB_20130712.02</t>
  </si>
  <si>
    <t>MB TS 5</t>
  </si>
  <si>
    <t>MB_20130907.01</t>
  </si>
  <si>
    <t>MB TS 2</t>
  </si>
  <si>
    <t>MB_20130909.01</t>
  </si>
  <si>
    <t>MB TS BS 5</t>
  </si>
  <si>
    <t>MB_20140707.01</t>
  </si>
  <si>
    <t>MB TS 10 3 2 I 1</t>
  </si>
  <si>
    <t>MB_20140707.02</t>
  </si>
  <si>
    <t>MB TS 10 3 2 I 0</t>
  </si>
  <si>
    <t>MB_20140709.01B</t>
  </si>
  <si>
    <t>MB_20140709.01E</t>
  </si>
  <si>
    <t>MB 10 2 3 I 1</t>
  </si>
  <si>
    <t>MB_20140709.02B</t>
  </si>
  <si>
    <t>MB_20140709.02E</t>
  </si>
  <si>
    <t>MB TA 20 5 5 I 1</t>
  </si>
  <si>
    <t>MB_20140715.01B</t>
  </si>
  <si>
    <t>MB_20140715.01E</t>
  </si>
  <si>
    <t>MB TF 10 2 2 I 1</t>
  </si>
  <si>
    <t>MB_20140723.01</t>
  </si>
  <si>
    <t>MB 8 2 1 TS I 1</t>
  </si>
  <si>
    <t>MB_20150626.01</t>
  </si>
  <si>
    <t>MB TS BR 5 2 E 2 1</t>
  </si>
  <si>
    <t>MB_20150701.01</t>
  </si>
  <si>
    <t>MB BR 4  2 I 3 1</t>
  </si>
  <si>
    <t>MB_20150701.02B</t>
  </si>
  <si>
    <t>MB_20150701.02E</t>
  </si>
  <si>
    <t>MB TS BR 3 1 I 3 2</t>
  </si>
  <si>
    <t>MB_20150710.01B</t>
  </si>
  <si>
    <t>MB_20150710.01E</t>
  </si>
  <si>
    <t>MB TA 6 1 1 I 1 1</t>
  </si>
  <si>
    <t>MB_20150721.01</t>
  </si>
  <si>
    <t>MB TF 6 I 2 1</t>
  </si>
  <si>
    <t>MB_20150726.01</t>
  </si>
  <si>
    <t>MB TS 5 I 2 1</t>
  </si>
  <si>
    <t>MB_20150829.01B</t>
  </si>
  <si>
    <t>MB_20150829.01E</t>
  </si>
  <si>
    <t>MB M 3 I 1 3</t>
  </si>
  <si>
    <t>MB_20150904.01</t>
  </si>
  <si>
    <t>MB TS 3 I 1 4</t>
  </si>
  <si>
    <t>MB_20151006.01</t>
  </si>
  <si>
    <t>MB TF 5 E 1 1</t>
  </si>
  <si>
    <t>MB_20151018.01</t>
  </si>
  <si>
    <t>MB M 5 I 2 1</t>
  </si>
  <si>
    <t>MB_20160416.01</t>
  </si>
  <si>
    <t>MB TS 3 I 1 2</t>
  </si>
  <si>
    <t>MB_20160417.01</t>
  </si>
  <si>
    <t>MB TS 6 I 1 3</t>
  </si>
  <si>
    <t>MB_20160628.01B</t>
  </si>
  <si>
    <t>MB_20160628.01E</t>
  </si>
  <si>
    <t>MB M 2 E 1 4</t>
  </si>
  <si>
    <t>MB_20160704.01</t>
  </si>
  <si>
    <t>MB TS 8 1 3 I 1 2</t>
  </si>
  <si>
    <t>MB_20160704.02</t>
  </si>
  <si>
    <t>MB M 10 2 3 I 1 3</t>
  </si>
  <si>
    <t>MB_20160708.01</t>
  </si>
  <si>
    <t>MB M H 3   1 I 3 3</t>
  </si>
  <si>
    <t>MB_20160711.01B</t>
  </si>
  <si>
    <t>MB_20160711.01E</t>
  </si>
  <si>
    <t>MB TA 25 5 5 I 2 5</t>
  </si>
  <si>
    <t>MB_20160714.01B</t>
  </si>
  <si>
    <t>MB_20160714.01E</t>
  </si>
  <si>
    <t>MB TA M H 10 3 I 1 4</t>
  </si>
  <si>
    <t>MB_20160714.02</t>
  </si>
  <si>
    <t>MB M 10 3 I 1 4</t>
  </si>
  <si>
    <t>MB_20160714.03B</t>
  </si>
  <si>
    <t>MB_20160714.03E</t>
  </si>
  <si>
    <t>MB M 6 3 I 1 4</t>
  </si>
  <si>
    <t>MB_20160718.01B</t>
  </si>
  <si>
    <t>MB M 2 I 1 4</t>
  </si>
  <si>
    <t>MB_20160718.01E</t>
  </si>
  <si>
    <t>MB_20160722.01</t>
  </si>
  <si>
    <t>MB 3 I M 1 3</t>
  </si>
  <si>
    <t>MB_20160724.01</t>
  </si>
  <si>
    <t>MB TS H 5 2 I 1 3</t>
  </si>
  <si>
    <t>MB_20160725.01B</t>
  </si>
  <si>
    <t>MB_20160725.01E</t>
  </si>
  <si>
    <t>MB  TA H 8 2 2 I 0 2</t>
  </si>
  <si>
    <t>MB_20160731.01</t>
  </si>
  <si>
    <t>MB M 2 E 0 1</t>
  </si>
  <si>
    <t>MB_20160805.01</t>
  </si>
  <si>
    <t>MB M H 10 2 E 1 2</t>
  </si>
  <si>
    <t>MB_20160905.01B</t>
  </si>
  <si>
    <t>MB_20160905.01E</t>
  </si>
  <si>
    <t>MB TS H 5 I 3 4</t>
  </si>
  <si>
    <t>MB_20170716.01</t>
  </si>
  <si>
    <t>MB TA 10 2 I 1 4</t>
  </si>
  <si>
    <t>MB_20170722.01</t>
  </si>
  <si>
    <t>MB TS 10 1 3 I 1 1</t>
  </si>
  <si>
    <t>MB_20170812.01</t>
  </si>
  <si>
    <t>MB TA H 5 I 1 2</t>
  </si>
  <si>
    <t>MB_20170818.01</t>
  </si>
  <si>
    <t>MB TA 4 E 1 1</t>
  </si>
  <si>
    <t>MB_20180628.01B</t>
  </si>
  <si>
    <t>MB_20180628.01E</t>
  </si>
  <si>
    <t>MB TF 8 I 2 2</t>
  </si>
  <si>
    <t>MB_20180704.01</t>
  </si>
  <si>
    <t>MB TA 2 I 2 2</t>
  </si>
  <si>
    <t>MB_20180704.01B</t>
  </si>
  <si>
    <t>MB_20180704.01E</t>
  </si>
  <si>
    <t>MB MI 5 I 0 1</t>
  </si>
  <si>
    <t>MB_20180707.01B</t>
  </si>
  <si>
    <t>MB_20180707.01E</t>
  </si>
  <si>
    <t>MB M 8 2 I 2 2</t>
  </si>
  <si>
    <t>MB_20180711.01B</t>
  </si>
  <si>
    <t xml:space="preserve"> MB</t>
  </si>
  <si>
    <t>MB_20180711.01E</t>
  </si>
  <si>
    <t>MB MI 2 1 E 0 1</t>
  </si>
  <si>
    <t>MB_20180716.01</t>
  </si>
  <si>
    <t>MB MI 10 1 4 E 1 1</t>
  </si>
  <si>
    <t>MB_20180723.01</t>
  </si>
  <si>
    <t>MB TS H 3 1 I 0 2</t>
  </si>
  <si>
    <t>MB_20180724.01B</t>
  </si>
  <si>
    <t>MB_20180724.01E</t>
  </si>
  <si>
    <t>MB_20180731.01B</t>
  </si>
  <si>
    <t>MB_20180731.01E</t>
  </si>
  <si>
    <t>MB TA 6 I 1 3</t>
  </si>
  <si>
    <t>MB_20180801.01B</t>
  </si>
  <si>
    <t>MB_20180801.01E</t>
  </si>
  <si>
    <t>MB TA 4 E 0 3</t>
  </si>
  <si>
    <t>MB_20180801.02B</t>
  </si>
  <si>
    <t>MB_20180801.02E</t>
  </si>
  <si>
    <t>MB TA 3 I 0 3</t>
  </si>
  <si>
    <t>MB_20180802.01B</t>
  </si>
  <si>
    <t>MB_20180802.01E</t>
  </si>
  <si>
    <t>MB M 5 A 1 1</t>
  </si>
  <si>
    <t>MB_20180802.02B</t>
  </si>
  <si>
    <t>MB_20180802.02E</t>
  </si>
  <si>
    <t>MB M BS 5 A 0 1</t>
  </si>
  <si>
    <t>MB_20180802.03</t>
  </si>
  <si>
    <t>MB TA 8 E 0 1</t>
  </si>
  <si>
    <t>MB_20180804.01B</t>
  </si>
  <si>
    <t>MB_20180804.01E</t>
  </si>
  <si>
    <t>MB TA 8 E 2 3</t>
  </si>
  <si>
    <t>MB_20180807.01</t>
  </si>
  <si>
    <t>MB M 10 2 I 0 1</t>
  </si>
  <si>
    <t>MB_20180807.02B</t>
  </si>
  <si>
    <t>MB_20180807.02E</t>
  </si>
  <si>
    <t>MB M BS 6 2 I 1 1</t>
  </si>
  <si>
    <t>MB_20180808.01B</t>
  </si>
  <si>
    <t>MB_20180808.01E</t>
  </si>
  <si>
    <t>MB M 3 A 0 1</t>
  </si>
  <si>
    <t>MB_20180826.01B</t>
  </si>
  <si>
    <t>MB_20180826.01E</t>
  </si>
  <si>
    <t>MB M 5 A 0 1</t>
  </si>
  <si>
    <t>MB_20180827.01B</t>
  </si>
  <si>
    <t>MB_20180827.01E</t>
  </si>
  <si>
    <t>MB BS M 6 E 0 1</t>
  </si>
  <si>
    <t>MB_20180827.02B</t>
  </si>
  <si>
    <t>MB_20180827.02E</t>
  </si>
  <si>
    <t>MB M 6 E 0 1</t>
  </si>
  <si>
    <t>MB_20180913.01B</t>
  </si>
  <si>
    <t>MB_20180913.01E</t>
  </si>
  <si>
    <t>MB TS 2 E 2 2</t>
  </si>
  <si>
    <t>MB_20180913.02</t>
  </si>
  <si>
    <t>MB M 3 I 2 3</t>
  </si>
  <si>
    <t>Sighting</t>
  </si>
  <si>
    <t>Date</t>
  </si>
  <si>
    <t>Time</t>
  </si>
  <si>
    <t>Behaviour</t>
  </si>
  <si>
    <t>02</t>
  </si>
  <si>
    <t>07</t>
  </si>
  <si>
    <t>2012</t>
  </si>
  <si>
    <t>04</t>
  </si>
  <si>
    <t>09</t>
  </si>
  <si>
    <t>10</t>
  </si>
  <si>
    <t>18</t>
  </si>
  <si>
    <t>19</t>
  </si>
  <si>
    <t>21</t>
  </si>
  <si>
    <t>22</t>
  </si>
  <si>
    <t>31</t>
  </si>
  <si>
    <t>01</t>
  </si>
  <si>
    <t>08</t>
  </si>
  <si>
    <t>17</t>
  </si>
  <si>
    <t>23</t>
  </si>
  <si>
    <t>24</t>
  </si>
  <si>
    <t>25</t>
  </si>
  <si>
    <t>27</t>
  </si>
  <si>
    <t>28</t>
  </si>
  <si>
    <t>03</t>
  </si>
  <si>
    <t>2013</t>
  </si>
  <si>
    <t>12</t>
  </si>
  <si>
    <t>2014</t>
  </si>
  <si>
    <t>15</t>
  </si>
  <si>
    <t>26</t>
  </si>
  <si>
    <t>06</t>
  </si>
  <si>
    <t>2015</t>
  </si>
  <si>
    <t>29</t>
  </si>
  <si>
    <t>16</t>
  </si>
  <si>
    <t>2016</t>
  </si>
  <si>
    <t>11</t>
  </si>
  <si>
    <t>14</t>
  </si>
  <si>
    <t>05</t>
  </si>
  <si>
    <t>2017</t>
  </si>
  <si>
    <t>2018</t>
  </si>
  <si>
    <t>13</t>
  </si>
  <si>
    <t>Peixe espada branco</t>
  </si>
  <si>
    <t>Abrótea</t>
  </si>
  <si>
    <t>Peixe espada preto</t>
  </si>
  <si>
    <t>Time i</t>
  </si>
  <si>
    <t>Time f</t>
  </si>
  <si>
    <t>Time stayed</t>
  </si>
  <si>
    <t>Behavior</t>
  </si>
  <si>
    <t>Group Compositon</t>
  </si>
  <si>
    <t>Boat Presence</t>
  </si>
  <si>
    <t>Beaufort</t>
  </si>
  <si>
    <t>FO</t>
  </si>
  <si>
    <t>R</t>
  </si>
  <si>
    <t>TF</t>
  </si>
  <si>
    <t>TA</t>
  </si>
  <si>
    <t>TS</t>
  </si>
  <si>
    <t>SO</t>
  </si>
  <si>
    <t>BR</t>
  </si>
  <si>
    <t xml:space="preserve">LB </t>
  </si>
  <si>
    <t>FL</t>
  </si>
  <si>
    <t>SP</t>
  </si>
  <si>
    <t>OT</t>
  </si>
  <si>
    <t>BS</t>
  </si>
  <si>
    <t>BF</t>
  </si>
  <si>
    <t>BB</t>
  </si>
  <si>
    <t>H</t>
  </si>
  <si>
    <t>NI</t>
  </si>
  <si>
    <t>Max</t>
  </si>
  <si>
    <t>Ad</t>
  </si>
  <si>
    <t>J</t>
  </si>
  <si>
    <t>C</t>
  </si>
  <si>
    <t>NB</t>
  </si>
  <si>
    <t>A</t>
  </si>
  <si>
    <t>I</t>
  </si>
  <si>
    <t>E</t>
  </si>
  <si>
    <t>Ni</t>
  </si>
  <si>
    <t>CC</t>
  </si>
  <si>
    <t>DT</t>
  </si>
  <si>
    <t>Group</t>
  </si>
  <si>
    <t>OT. Species</t>
  </si>
  <si>
    <t>NO</t>
  </si>
  <si>
    <t>PM</t>
  </si>
  <si>
    <t>Day</t>
  </si>
  <si>
    <t>Month</t>
  </si>
  <si>
    <t>Year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</si>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</sst>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21" fontId="0" fillId="0" borderId="0" xfId="0" applyNumberFormat="1"/>
    <xf numFmtId="3" fontId="1" fillId="0" borderId="0" xfId="0" applyNumberFormat="1" applyFont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14" fontId="0" fillId="0" borderId="3" xfId="0" applyNumberFormat="1" applyBorder="1"/>
    <xf numFmtId="21" fontId="0" fillId="0" borderId="3" xfId="0" applyNumberFormat="1" applyBorder="1"/>
    <xf numFmtId="0" fontId="0" fillId="0" borderId="7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0" fillId="0" borderId="10" xfId="0" applyNumberFormat="1" applyBorder="1"/>
    <xf numFmtId="21" fontId="0" fillId="0" borderId="10" xfId="0" applyNumberFormat="1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/>
    <xf numFmtId="49" fontId="0" fillId="0" borderId="3" xfId="0" applyNumberFormat="1" applyBorder="1"/>
    <xf numFmtId="49" fontId="0" fillId="0" borderId="10" xfId="0" applyNumberFormat="1" applyBorder="1"/>
    <xf numFmtId="49" fontId="0" fillId="0" borderId="1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Bm/Bm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Bb/Bb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</sheetNames>
    <sheetDataSet>
      <sheetData sheetId="0"/>
      <sheetData sheetId="1"/>
      <sheetData sheetId="2"/>
      <sheetData sheetId="3">
        <row r="2">
          <cell r="N2" t="str">
            <v>FO</v>
          </cell>
          <cell r="O2" t="str">
            <v>M</v>
          </cell>
          <cell r="P2" t="str">
            <v>R</v>
          </cell>
          <cell r="Q2" t="str">
            <v>TF</v>
          </cell>
          <cell r="R2" t="str">
            <v>TA</v>
          </cell>
          <cell r="S2" t="str">
            <v>TS</v>
          </cell>
          <cell r="T2" t="str">
            <v>SO</v>
          </cell>
          <cell r="U2" t="str">
            <v>BR</v>
          </cell>
          <cell r="V2" t="str">
            <v xml:space="preserve">LB </v>
          </cell>
          <cell r="W2" t="str">
            <v>FL</v>
          </cell>
          <cell r="X2" t="str">
            <v>SP</v>
          </cell>
          <cell r="Y2" t="str">
            <v>OT</v>
          </cell>
          <cell r="Z2" t="str">
            <v>BS</v>
          </cell>
          <cell r="AA2" t="str">
            <v>BF</v>
          </cell>
          <cell r="AB2" t="str">
            <v>BB</v>
          </cell>
          <cell r="AC2" t="str">
            <v>H</v>
          </cell>
          <cell r="AD2" t="str">
            <v>NI</v>
          </cell>
          <cell r="AE2" t="str">
            <v>Max</v>
          </cell>
          <cell r="AF2" t="str">
            <v>Ad</v>
          </cell>
          <cell r="AG2" t="str">
            <v>J</v>
          </cell>
          <cell r="AH2" t="str">
            <v>C</v>
          </cell>
          <cell r="AI2" t="str">
            <v>NB</v>
          </cell>
          <cell r="AJ2" t="str">
            <v>NI</v>
          </cell>
          <cell r="AK2" t="str">
            <v>A</v>
          </cell>
          <cell r="AL2" t="str">
            <v>I</v>
          </cell>
          <cell r="AM2" t="str">
            <v>E</v>
          </cell>
          <cell r="AN2" t="str">
            <v>Ni</v>
          </cell>
          <cell r="AO2">
            <v>0</v>
          </cell>
          <cell r="AP2">
            <v>1</v>
          </cell>
          <cell r="AQ2">
            <v>2</v>
          </cell>
          <cell r="AR2">
            <v>3</v>
          </cell>
          <cell r="AS2">
            <v>4</v>
          </cell>
          <cell r="AT2">
            <v>5</v>
          </cell>
          <cell r="AU2" t="str">
            <v>NI</v>
          </cell>
        </row>
        <row r="247">
          <cell r="E247" t="str">
            <v>March</v>
          </cell>
        </row>
        <row r="248">
          <cell r="E248" t="str">
            <v>April</v>
          </cell>
        </row>
        <row r="249">
          <cell r="E249" t="str">
            <v>May</v>
          </cell>
        </row>
        <row r="250">
          <cell r="E250" t="str">
            <v>June</v>
          </cell>
        </row>
        <row r="251">
          <cell r="E251" t="str">
            <v>July</v>
          </cell>
        </row>
        <row r="252">
          <cell r="E252" t="str">
            <v>August</v>
          </cell>
        </row>
        <row r="253">
          <cell r="E253" t="str">
            <v>September</v>
          </cell>
        </row>
        <row r="254">
          <cell r="E254" t="str">
            <v>October</v>
          </cell>
        </row>
        <row r="255">
          <cell r="E255" t="str">
            <v>November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</sheetNames>
    <sheetDataSet>
      <sheetData sheetId="0"/>
      <sheetData sheetId="1">
        <row r="2">
          <cell r="N2" t="str">
            <v>FO</v>
          </cell>
        </row>
        <row r="118">
          <cell r="A118">
            <v>2012</v>
          </cell>
        </row>
        <row r="119">
          <cell r="A119">
            <v>2013</v>
          </cell>
        </row>
        <row r="120">
          <cell r="A120">
            <v>2014</v>
          </cell>
        </row>
        <row r="121">
          <cell r="A121">
            <v>2015</v>
          </cell>
        </row>
        <row r="122">
          <cell r="A122">
            <v>2016</v>
          </cell>
        </row>
        <row r="123">
          <cell r="A123">
            <v>2017</v>
          </cell>
        </row>
        <row r="124">
          <cell r="A124">
            <v>2018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C896-99B9-3540-8C59-2A1603464B5E}">
  <dimension ref="A1:T144"/>
  <sheetViews>
    <sheetView workbookViewId="0">
      <selection activeCell="J9" sqref="J9"/>
    </sheetView>
  </sheetViews>
  <sheetFormatPr baseColWidth="10" defaultRowHeight="16" x14ac:dyDescent="0.2"/>
  <cols>
    <col min="6" max="6" width="16.83203125" bestFit="1" customWidth="1"/>
    <col min="7" max="7" width="18.6640625" bestFit="1" customWidth="1"/>
  </cols>
  <sheetData>
    <row r="1" spans="1:20" x14ac:dyDescent="0.2">
      <c r="R1" s="4" t="s">
        <v>231</v>
      </c>
    </row>
    <row r="2" spans="1:20" x14ac:dyDescent="0.2">
      <c r="A2" t="s">
        <v>230</v>
      </c>
      <c r="B2" t="s">
        <v>0</v>
      </c>
      <c r="C2" t="s">
        <v>1</v>
      </c>
      <c r="D2" t="s">
        <v>231</v>
      </c>
      <c r="E2" t="s">
        <v>232</v>
      </c>
      <c r="F2" t="s">
        <v>2</v>
      </c>
      <c r="G2" t="s">
        <v>233</v>
      </c>
      <c r="R2" s="4" t="s">
        <v>234</v>
      </c>
      <c r="S2" s="4" t="s">
        <v>235</v>
      </c>
      <c r="T2" s="4" t="s">
        <v>236</v>
      </c>
    </row>
    <row r="3" spans="1:20" x14ac:dyDescent="0.2">
      <c r="A3">
        <v>1</v>
      </c>
      <c r="B3">
        <v>38.388441028073402</v>
      </c>
      <c r="C3">
        <f>-28.336932985112</f>
        <v>-28.336932985112</v>
      </c>
      <c r="D3" s="1">
        <v>41092</v>
      </c>
      <c r="E3" s="2">
        <v>0.47469907407407402</v>
      </c>
      <c r="F3" t="s">
        <v>3</v>
      </c>
      <c r="G3" t="s">
        <v>4</v>
      </c>
      <c r="R3" s="4" t="s">
        <v>237</v>
      </c>
      <c r="S3" s="4" t="s">
        <v>235</v>
      </c>
      <c r="T3" s="4" t="s">
        <v>236</v>
      </c>
    </row>
    <row r="4" spans="1:20" x14ac:dyDescent="0.2">
      <c r="A4">
        <v>2</v>
      </c>
      <c r="B4">
        <v>38.374166982248397</v>
      </c>
      <c r="C4">
        <f>-28.1789920292794</f>
        <v>-28.178992029279399</v>
      </c>
      <c r="D4" s="1">
        <v>41094</v>
      </c>
      <c r="E4" s="2">
        <v>0.44591435185185185</v>
      </c>
      <c r="F4" t="s">
        <v>5</v>
      </c>
      <c r="G4" t="s">
        <v>6</v>
      </c>
      <c r="R4" s="4" t="s">
        <v>237</v>
      </c>
      <c r="S4" s="4" t="s">
        <v>235</v>
      </c>
      <c r="T4" s="4" t="s">
        <v>236</v>
      </c>
    </row>
    <row r="5" spans="1:20" x14ac:dyDescent="0.2">
      <c r="A5">
        <v>3</v>
      </c>
      <c r="B5">
        <v>38.3746579941362</v>
      </c>
      <c r="C5">
        <f>-28.1715520005673</f>
        <v>-28.171552000567299</v>
      </c>
      <c r="D5" s="1">
        <v>41094</v>
      </c>
      <c r="E5" s="2">
        <v>0.4557060185185185</v>
      </c>
      <c r="F5" t="s">
        <v>7</v>
      </c>
      <c r="G5" t="s">
        <v>8</v>
      </c>
      <c r="J5">
        <v>2012</v>
      </c>
      <c r="K5">
        <v>2013</v>
      </c>
      <c r="L5">
        <v>2014</v>
      </c>
      <c r="M5">
        <v>2015</v>
      </c>
      <c r="N5">
        <v>2016</v>
      </c>
      <c r="O5">
        <v>2017</v>
      </c>
      <c r="P5">
        <v>2018</v>
      </c>
      <c r="R5" s="4" t="s">
        <v>237</v>
      </c>
      <c r="S5" s="4" t="s">
        <v>235</v>
      </c>
      <c r="T5" s="4" t="s">
        <v>236</v>
      </c>
    </row>
    <row r="6" spans="1:20" x14ac:dyDescent="0.2">
      <c r="A6">
        <v>4</v>
      </c>
      <c r="B6">
        <v>38.363711982965398</v>
      </c>
      <c r="C6">
        <f>-28.1739860214293</f>
        <v>-28.1739860214293</v>
      </c>
      <c r="D6" s="1">
        <v>41094</v>
      </c>
      <c r="E6" s="2">
        <v>0.47273148148148153</v>
      </c>
      <c r="F6" t="s">
        <v>9</v>
      </c>
      <c r="G6" t="s">
        <v>10</v>
      </c>
      <c r="I6" t="s">
        <v>271</v>
      </c>
      <c r="J6" s="3">
        <v>389787</v>
      </c>
      <c r="K6" s="3">
        <v>303991</v>
      </c>
      <c r="L6" s="3">
        <v>337181</v>
      </c>
      <c r="M6" s="3">
        <v>233806</v>
      </c>
      <c r="N6" s="3">
        <v>142544</v>
      </c>
      <c r="O6" s="3">
        <v>88100</v>
      </c>
      <c r="P6" s="3">
        <v>83168</v>
      </c>
      <c r="R6" s="4" t="s">
        <v>237</v>
      </c>
      <c r="S6" s="4" t="s">
        <v>235</v>
      </c>
      <c r="T6" s="4" t="s">
        <v>236</v>
      </c>
    </row>
    <row r="7" spans="1:20" x14ac:dyDescent="0.2">
      <c r="A7">
        <v>5</v>
      </c>
      <c r="B7">
        <v>38.354688026010898</v>
      </c>
      <c r="C7">
        <f>-28.1755390204489</f>
        <v>-28.175539020448898</v>
      </c>
      <c r="D7" s="1">
        <v>41094</v>
      </c>
      <c r="E7" s="2">
        <v>0.48396990740740736</v>
      </c>
      <c r="F7" t="s">
        <v>11</v>
      </c>
      <c r="G7" t="s">
        <v>12</v>
      </c>
      <c r="I7" s="4" t="s">
        <v>270</v>
      </c>
      <c r="J7" s="3">
        <v>270643</v>
      </c>
      <c r="K7" s="3">
        <v>360544</v>
      </c>
      <c r="L7" s="3">
        <v>713169</v>
      </c>
      <c r="M7" s="3">
        <v>429116</v>
      </c>
      <c r="N7" s="3">
        <v>86946</v>
      </c>
      <c r="O7" s="3">
        <v>100545</v>
      </c>
      <c r="P7" s="3">
        <v>73491</v>
      </c>
      <c r="R7" s="4" t="s">
        <v>238</v>
      </c>
      <c r="S7" s="4" t="s">
        <v>235</v>
      </c>
      <c r="T7" s="4" t="s">
        <v>236</v>
      </c>
    </row>
    <row r="8" spans="1:20" x14ac:dyDescent="0.2">
      <c r="A8">
        <v>6</v>
      </c>
      <c r="B8">
        <v>38.339184019714502</v>
      </c>
      <c r="C8">
        <f>-28.2632399629801</f>
        <v>-28.263239962980101</v>
      </c>
      <c r="D8" s="1">
        <v>41099</v>
      </c>
      <c r="E8" s="2">
        <v>0.52364583333333337</v>
      </c>
      <c r="F8" t="s">
        <v>13</v>
      </c>
      <c r="G8" t="s">
        <v>14</v>
      </c>
      <c r="I8" s="4" t="s">
        <v>272</v>
      </c>
      <c r="J8" s="3">
        <v>457807</v>
      </c>
      <c r="K8" s="3">
        <v>206199</v>
      </c>
      <c r="L8" s="3">
        <v>54381</v>
      </c>
      <c r="M8" s="3">
        <v>6794</v>
      </c>
      <c r="N8" s="3">
        <v>35550</v>
      </c>
      <c r="O8" s="3">
        <v>62984</v>
      </c>
      <c r="P8" s="3">
        <v>13538</v>
      </c>
      <c r="R8" s="4" t="s">
        <v>238</v>
      </c>
      <c r="S8" s="4" t="s">
        <v>235</v>
      </c>
      <c r="T8" s="4" t="s">
        <v>236</v>
      </c>
    </row>
    <row r="9" spans="1:20" x14ac:dyDescent="0.2">
      <c r="A9">
        <v>7</v>
      </c>
      <c r="B9">
        <v>38.326019989326497</v>
      </c>
      <c r="C9">
        <f>-28.2584160100668</f>
        <v>-28.258416010066799</v>
      </c>
      <c r="D9" s="1">
        <v>41099</v>
      </c>
      <c r="E9" s="2">
        <v>0.53153935185185186</v>
      </c>
      <c r="F9" t="s">
        <v>15</v>
      </c>
      <c r="G9" t="s">
        <v>12</v>
      </c>
      <c r="R9" s="4" t="s">
        <v>239</v>
      </c>
      <c r="S9" s="4" t="s">
        <v>235</v>
      </c>
      <c r="T9" s="4" t="s">
        <v>236</v>
      </c>
    </row>
    <row r="10" spans="1:20" x14ac:dyDescent="0.2">
      <c r="A10">
        <v>8</v>
      </c>
      <c r="B10">
        <v>38.369204979389899</v>
      </c>
      <c r="C10">
        <f>-28.1682350300252</f>
        <v>-28.168235030025201</v>
      </c>
      <c r="D10" s="1">
        <v>41100</v>
      </c>
      <c r="E10" s="2">
        <v>0.5003819444444445</v>
      </c>
      <c r="F10" t="s">
        <v>16</v>
      </c>
      <c r="G10" t="s">
        <v>10</v>
      </c>
      <c r="J10">
        <v>36</v>
      </c>
      <c r="K10">
        <v>10</v>
      </c>
      <c r="L10">
        <v>9</v>
      </c>
      <c r="M10">
        <v>13</v>
      </c>
      <c r="N10">
        <v>24</v>
      </c>
      <c r="O10">
        <v>4</v>
      </c>
      <c r="P10">
        <v>40</v>
      </c>
      <c r="R10" s="4" t="s">
        <v>239</v>
      </c>
      <c r="S10" s="4" t="s">
        <v>235</v>
      </c>
      <c r="T10" s="4" t="s">
        <v>236</v>
      </c>
    </row>
    <row r="11" spans="1:20" x14ac:dyDescent="0.2">
      <c r="A11">
        <v>9</v>
      </c>
      <c r="B11">
        <v>38.347655022516797</v>
      </c>
      <c r="C11">
        <f>-28.1942839734256</f>
        <v>-28.194283973425598</v>
      </c>
      <c r="D11" s="1">
        <v>41100</v>
      </c>
      <c r="E11" s="2">
        <v>0.51851851851851849</v>
      </c>
      <c r="F11" t="s">
        <v>17</v>
      </c>
      <c r="G11" t="s">
        <v>18</v>
      </c>
      <c r="R11" s="4" t="s">
        <v>240</v>
      </c>
      <c r="S11" s="4" t="s">
        <v>235</v>
      </c>
      <c r="T11" s="4" t="s">
        <v>236</v>
      </c>
    </row>
    <row r="12" spans="1:20" x14ac:dyDescent="0.2">
      <c r="A12">
        <v>10</v>
      </c>
      <c r="B12">
        <v>38.377077011391499</v>
      </c>
      <c r="C12">
        <f>-28.3225779701024</f>
        <v>-28.322577970102401</v>
      </c>
      <c r="D12" s="1">
        <v>41108</v>
      </c>
      <c r="E12" s="2">
        <v>0.43765046296296295</v>
      </c>
      <c r="F12" t="s">
        <v>19</v>
      </c>
      <c r="G12" t="s">
        <v>10</v>
      </c>
      <c r="R12" s="4" t="s">
        <v>240</v>
      </c>
      <c r="S12" s="4" t="s">
        <v>235</v>
      </c>
      <c r="T12" s="4" t="s">
        <v>236</v>
      </c>
    </row>
    <row r="13" spans="1:20" x14ac:dyDescent="0.2">
      <c r="A13">
        <v>11</v>
      </c>
      <c r="B13">
        <v>38.381118010729502</v>
      </c>
      <c r="C13">
        <f>-28.3295150008052</f>
        <v>-28.329515000805198</v>
      </c>
      <c r="D13" s="1">
        <v>41108</v>
      </c>
      <c r="E13" s="2">
        <v>0.44171296296296297</v>
      </c>
      <c r="F13" t="s">
        <v>20</v>
      </c>
      <c r="G13" t="s">
        <v>21</v>
      </c>
      <c r="R13" s="4" t="s">
        <v>241</v>
      </c>
      <c r="S13" s="4" t="s">
        <v>235</v>
      </c>
      <c r="T13" s="4" t="s">
        <v>236</v>
      </c>
    </row>
    <row r="14" spans="1:20" x14ac:dyDescent="0.2">
      <c r="A14">
        <v>12</v>
      </c>
      <c r="B14">
        <v>38.375315973535102</v>
      </c>
      <c r="C14">
        <f>-28.1216159742325</f>
        <v>-28.121615974232501</v>
      </c>
      <c r="D14" s="1">
        <v>41109</v>
      </c>
      <c r="E14" s="2">
        <v>0.72748842592592589</v>
      </c>
      <c r="F14" t="s">
        <v>22</v>
      </c>
      <c r="G14" t="s">
        <v>23</v>
      </c>
      <c r="R14" s="4" t="s">
        <v>242</v>
      </c>
      <c r="S14" s="4" t="s">
        <v>235</v>
      </c>
      <c r="T14" s="4" t="s">
        <v>236</v>
      </c>
    </row>
    <row r="15" spans="1:20" x14ac:dyDescent="0.2">
      <c r="A15">
        <v>13</v>
      </c>
      <c r="B15">
        <v>38.373291995376299</v>
      </c>
      <c r="C15">
        <f>-28.1850910373032</f>
        <v>-28.185091037303199</v>
      </c>
      <c r="D15" s="1">
        <v>41111</v>
      </c>
      <c r="E15" s="2">
        <v>0.48534722222222221</v>
      </c>
      <c r="F15" t="s">
        <v>24</v>
      </c>
      <c r="G15" t="s">
        <v>4</v>
      </c>
      <c r="R15" s="4" t="s">
        <v>243</v>
      </c>
      <c r="S15" s="4" t="s">
        <v>235</v>
      </c>
      <c r="T15" s="4" t="s">
        <v>236</v>
      </c>
    </row>
    <row r="16" spans="1:20" x14ac:dyDescent="0.2">
      <c r="A16">
        <v>14</v>
      </c>
      <c r="B16">
        <v>38.353771967813302</v>
      </c>
      <c r="C16">
        <f>-28.2893920037895</f>
        <v>-28.289392003789501</v>
      </c>
      <c r="D16" s="1">
        <v>41112</v>
      </c>
      <c r="E16" s="2">
        <v>0.62349537037037039</v>
      </c>
      <c r="F16" t="s">
        <v>25</v>
      </c>
      <c r="G16" t="s">
        <v>10</v>
      </c>
      <c r="R16" s="4" t="s">
        <v>243</v>
      </c>
      <c r="S16" s="4" t="s">
        <v>235</v>
      </c>
      <c r="T16" s="4" t="s">
        <v>236</v>
      </c>
    </row>
    <row r="17" spans="1:20" x14ac:dyDescent="0.2">
      <c r="A17">
        <v>15</v>
      </c>
      <c r="B17">
        <v>38.343935972079599</v>
      </c>
      <c r="C17">
        <f>-28.2711779605597</f>
        <v>-28.271177960559701</v>
      </c>
      <c r="D17" s="1">
        <v>41112</v>
      </c>
      <c r="E17" s="2">
        <v>0.63537037037037036</v>
      </c>
      <c r="F17" t="s">
        <v>26</v>
      </c>
      <c r="G17" t="s">
        <v>27</v>
      </c>
      <c r="R17" s="4" t="s">
        <v>244</v>
      </c>
      <c r="S17" s="4" t="s">
        <v>235</v>
      </c>
      <c r="T17" s="4" t="s">
        <v>236</v>
      </c>
    </row>
    <row r="18" spans="1:20" x14ac:dyDescent="0.2">
      <c r="A18">
        <v>16</v>
      </c>
      <c r="B18">
        <v>38.365232963114899</v>
      </c>
      <c r="C18">
        <f>-28.1506290100514</f>
        <v>-28.1506290100514</v>
      </c>
      <c r="D18" s="1">
        <v>41121</v>
      </c>
      <c r="E18" s="2">
        <v>0.47182870370370367</v>
      </c>
      <c r="F18" t="s">
        <v>28</v>
      </c>
      <c r="G18" t="s">
        <v>10</v>
      </c>
      <c r="R18" s="4" t="s">
        <v>244</v>
      </c>
      <c r="S18" s="4" t="s">
        <v>235</v>
      </c>
      <c r="T18" s="4" t="s">
        <v>236</v>
      </c>
    </row>
    <row r="19" spans="1:20" x14ac:dyDescent="0.2">
      <c r="A19">
        <v>17</v>
      </c>
      <c r="B19">
        <v>38.376621035858903</v>
      </c>
      <c r="C19">
        <f>-28.1424729991704</f>
        <v>-28.142472999170401</v>
      </c>
      <c r="D19" s="1">
        <v>41121</v>
      </c>
      <c r="E19" s="2">
        <v>0.48221064814814812</v>
      </c>
      <c r="F19" t="s">
        <v>29</v>
      </c>
      <c r="G19" t="s">
        <v>30</v>
      </c>
      <c r="R19" s="4" t="s">
        <v>245</v>
      </c>
      <c r="S19" s="4" t="s">
        <v>246</v>
      </c>
      <c r="T19" s="4" t="s">
        <v>236</v>
      </c>
    </row>
    <row r="20" spans="1:20" x14ac:dyDescent="0.2">
      <c r="A20">
        <v>18</v>
      </c>
      <c r="B20">
        <v>38.341877963393898</v>
      </c>
      <c r="C20">
        <f>-28.3042269665747</f>
        <v>-28.304226966574699</v>
      </c>
      <c r="D20" s="1">
        <v>41122</v>
      </c>
      <c r="E20" s="2">
        <v>0.73195601851851855</v>
      </c>
      <c r="F20" t="s">
        <v>31</v>
      </c>
      <c r="G20" t="s">
        <v>10</v>
      </c>
      <c r="R20" s="4" t="s">
        <v>245</v>
      </c>
      <c r="S20" s="4" t="s">
        <v>246</v>
      </c>
      <c r="T20" s="4" t="s">
        <v>236</v>
      </c>
    </row>
    <row r="21" spans="1:20" x14ac:dyDescent="0.2">
      <c r="A21">
        <v>19</v>
      </c>
      <c r="B21">
        <v>38.3335089683532</v>
      </c>
      <c r="C21">
        <f>-28.3030079863965</f>
        <v>-28.303007986396501</v>
      </c>
      <c r="D21" s="1">
        <v>41122</v>
      </c>
      <c r="E21" s="2">
        <v>0.73603009259259267</v>
      </c>
      <c r="F21" t="s">
        <v>32</v>
      </c>
      <c r="G21" t="s">
        <v>33</v>
      </c>
      <c r="R21" s="4" t="s">
        <v>234</v>
      </c>
      <c r="S21" s="4" t="s">
        <v>246</v>
      </c>
      <c r="T21" s="4" t="s">
        <v>236</v>
      </c>
    </row>
    <row r="22" spans="1:20" x14ac:dyDescent="0.2">
      <c r="A22">
        <v>20</v>
      </c>
      <c r="B22">
        <v>38.350839978083897</v>
      </c>
      <c r="C22">
        <f>-28.2454290054738</f>
        <v>-28.245429005473799</v>
      </c>
      <c r="D22" s="1">
        <v>41123</v>
      </c>
      <c r="E22" s="2">
        <v>0.47864583333333338</v>
      </c>
      <c r="F22" t="s">
        <v>34</v>
      </c>
      <c r="G22" t="s">
        <v>10</v>
      </c>
      <c r="R22" s="4" t="s">
        <v>234</v>
      </c>
      <c r="S22" s="4" t="s">
        <v>246</v>
      </c>
      <c r="T22" s="4" t="s">
        <v>236</v>
      </c>
    </row>
    <row r="23" spans="1:20" x14ac:dyDescent="0.2">
      <c r="A23">
        <v>21</v>
      </c>
      <c r="B23">
        <v>38.3511249627918</v>
      </c>
      <c r="C23">
        <f>-28.2527579739689</f>
        <v>-28.252757973968901</v>
      </c>
      <c r="D23" s="1">
        <v>41123</v>
      </c>
      <c r="E23" s="2">
        <v>0.4810532407407408</v>
      </c>
      <c r="F23" t="s">
        <v>35</v>
      </c>
      <c r="G23" t="s">
        <v>36</v>
      </c>
      <c r="R23" s="4" t="s">
        <v>234</v>
      </c>
      <c r="S23" s="4" t="s">
        <v>246</v>
      </c>
      <c r="T23" s="4" t="s">
        <v>236</v>
      </c>
    </row>
    <row r="24" spans="1:20" x14ac:dyDescent="0.2">
      <c r="A24">
        <v>22</v>
      </c>
      <c r="B24">
        <v>38.336212970316403</v>
      </c>
      <c r="C24">
        <f>-28.2577939890325</f>
        <v>-28.2577939890325</v>
      </c>
      <c r="D24" s="1">
        <v>41123</v>
      </c>
      <c r="E24" s="2">
        <v>0.68361111111111106</v>
      </c>
      <c r="F24" t="s">
        <v>37</v>
      </c>
      <c r="G24" t="s">
        <v>10</v>
      </c>
      <c r="R24" s="4" t="s">
        <v>234</v>
      </c>
      <c r="S24" s="4" t="s">
        <v>246</v>
      </c>
      <c r="T24" s="4" t="s">
        <v>236</v>
      </c>
    </row>
    <row r="25" spans="1:20" x14ac:dyDescent="0.2">
      <c r="A25">
        <v>23</v>
      </c>
      <c r="B25">
        <v>38.3209959603846</v>
      </c>
      <c r="C25">
        <f>-28.2411300111562</f>
        <v>-28.241130011156201</v>
      </c>
      <c r="D25" s="1">
        <v>41123</v>
      </c>
      <c r="E25" s="2">
        <v>0.69740740740740748</v>
      </c>
      <c r="F25" t="s">
        <v>38</v>
      </c>
      <c r="G25" t="s">
        <v>39</v>
      </c>
      <c r="R25" s="4" t="s">
        <v>247</v>
      </c>
      <c r="S25" s="4" t="s">
        <v>246</v>
      </c>
      <c r="T25" s="4" t="s">
        <v>236</v>
      </c>
    </row>
    <row r="26" spans="1:20" x14ac:dyDescent="0.2">
      <c r="A26">
        <v>24</v>
      </c>
      <c r="B26">
        <v>38.368782028555799</v>
      </c>
      <c r="C26">
        <f>-28.0618619732558</f>
        <v>-28.061861973255802</v>
      </c>
      <c r="D26" s="1">
        <v>41138</v>
      </c>
      <c r="E26" s="2">
        <v>0.83082175925925927</v>
      </c>
      <c r="F26" t="s">
        <v>40</v>
      </c>
      <c r="G26" t="s">
        <v>10</v>
      </c>
      <c r="R26" s="4" t="s">
        <v>247</v>
      </c>
      <c r="S26" s="4" t="s">
        <v>246</v>
      </c>
      <c r="T26" s="4" t="s">
        <v>236</v>
      </c>
    </row>
    <row r="27" spans="1:20" x14ac:dyDescent="0.2">
      <c r="A27">
        <v>25</v>
      </c>
      <c r="B27">
        <v>38.364953007548998</v>
      </c>
      <c r="C27">
        <f>-28.0694230366498</f>
        <v>-28.069423036649798</v>
      </c>
      <c r="D27" s="1">
        <v>41138</v>
      </c>
      <c r="E27" s="2">
        <v>0.83521990740740737</v>
      </c>
      <c r="F27" t="s">
        <v>41</v>
      </c>
      <c r="G27" t="s">
        <v>42</v>
      </c>
      <c r="R27" s="4" t="s">
        <v>248</v>
      </c>
      <c r="S27" s="4" t="s">
        <v>246</v>
      </c>
      <c r="T27" s="4" t="s">
        <v>236</v>
      </c>
    </row>
    <row r="28" spans="1:20" x14ac:dyDescent="0.2">
      <c r="A28">
        <v>26</v>
      </c>
      <c r="B28">
        <v>38.342287000268598</v>
      </c>
      <c r="C28">
        <f>-28.1789640337228</f>
        <v>-28.178964033722799</v>
      </c>
      <c r="D28" s="1">
        <v>41144</v>
      </c>
      <c r="E28" s="2">
        <v>0.42033564814814817</v>
      </c>
      <c r="F28" t="s">
        <v>43</v>
      </c>
      <c r="G28" t="s">
        <v>10</v>
      </c>
      <c r="R28" s="4" t="s">
        <v>248</v>
      </c>
      <c r="S28" s="4" t="s">
        <v>246</v>
      </c>
      <c r="T28" s="4" t="s">
        <v>236</v>
      </c>
    </row>
    <row r="29" spans="1:20" x14ac:dyDescent="0.2">
      <c r="A29">
        <v>27</v>
      </c>
      <c r="B29">
        <v>38.371257036924298</v>
      </c>
      <c r="C29">
        <f>-28.1537080183625</f>
        <v>-28.153708018362501</v>
      </c>
      <c r="D29" s="1">
        <v>41144</v>
      </c>
      <c r="E29" s="2">
        <v>0.43797453703703698</v>
      </c>
      <c r="F29" t="s">
        <v>44</v>
      </c>
      <c r="G29" t="s">
        <v>45</v>
      </c>
      <c r="R29" s="4" t="s">
        <v>249</v>
      </c>
      <c r="S29" s="4" t="s">
        <v>246</v>
      </c>
      <c r="T29" s="4" t="s">
        <v>236</v>
      </c>
    </row>
    <row r="30" spans="1:20" x14ac:dyDescent="0.2">
      <c r="A30">
        <v>28</v>
      </c>
      <c r="B30">
        <v>38.344129007309597</v>
      </c>
      <c r="C30">
        <f>-28.1394410133361</f>
        <v>-28.1394410133361</v>
      </c>
      <c r="D30" s="1">
        <v>41145</v>
      </c>
      <c r="E30" s="2">
        <v>0.70840277777777771</v>
      </c>
      <c r="F30" t="s">
        <v>46</v>
      </c>
      <c r="G30" t="s">
        <v>47</v>
      </c>
      <c r="R30" s="4" t="s">
        <v>250</v>
      </c>
      <c r="S30" s="4" t="s">
        <v>246</v>
      </c>
      <c r="T30" s="4" t="s">
        <v>236</v>
      </c>
    </row>
    <row r="31" spans="1:20" x14ac:dyDescent="0.2">
      <c r="A31">
        <v>29</v>
      </c>
      <c r="B31">
        <v>38.377422010525997</v>
      </c>
      <c r="C31">
        <f>-28.0867760069668</f>
        <v>-28.086776006966801</v>
      </c>
      <c r="D31" s="1">
        <v>41146</v>
      </c>
      <c r="E31" s="2">
        <v>0.46043981481481483</v>
      </c>
      <c r="F31" t="s">
        <v>48</v>
      </c>
      <c r="G31" t="s">
        <v>49</v>
      </c>
      <c r="R31" s="4" t="s">
        <v>251</v>
      </c>
      <c r="S31" s="4" t="s">
        <v>246</v>
      </c>
      <c r="T31" s="4" t="s">
        <v>236</v>
      </c>
    </row>
    <row r="32" spans="1:20" x14ac:dyDescent="0.2">
      <c r="A32">
        <v>30</v>
      </c>
      <c r="B32">
        <v>38.317805975675498</v>
      </c>
      <c r="C32">
        <f>-28.1758769787848</f>
        <v>-28.1758769787848</v>
      </c>
      <c r="D32" s="1">
        <v>41148</v>
      </c>
      <c r="E32" s="2">
        <v>0.45046296296296301</v>
      </c>
      <c r="F32" t="s">
        <v>50</v>
      </c>
      <c r="G32" t="s">
        <v>51</v>
      </c>
      <c r="R32" s="4" t="s">
        <v>251</v>
      </c>
      <c r="S32" s="4" t="s">
        <v>246</v>
      </c>
      <c r="T32" s="4" t="s">
        <v>236</v>
      </c>
    </row>
    <row r="33" spans="1:20" x14ac:dyDescent="0.2">
      <c r="A33">
        <v>31</v>
      </c>
      <c r="B33">
        <v>38.287851987406597</v>
      </c>
      <c r="C33">
        <f>-28.1262019649147</f>
        <v>-28.126201964914699</v>
      </c>
      <c r="D33" s="1">
        <v>41148</v>
      </c>
      <c r="E33" s="2">
        <v>0.72361111111111109</v>
      </c>
      <c r="F33" t="s">
        <v>52</v>
      </c>
      <c r="G33" t="s">
        <v>53</v>
      </c>
      <c r="R33" s="4" t="s">
        <v>252</v>
      </c>
      <c r="S33" s="4" t="s">
        <v>246</v>
      </c>
      <c r="T33" s="4" t="s">
        <v>236</v>
      </c>
    </row>
    <row r="34" spans="1:20" x14ac:dyDescent="0.2">
      <c r="A34">
        <v>32</v>
      </c>
      <c r="B34">
        <v>38.3759270142763</v>
      </c>
      <c r="C34">
        <f>-28.2844109740108</f>
        <v>-28.2844109740108</v>
      </c>
      <c r="D34" s="1">
        <v>41149</v>
      </c>
      <c r="E34" s="2">
        <v>0.3943402777777778</v>
      </c>
      <c r="F34" t="s">
        <v>54</v>
      </c>
      <c r="G34" t="s">
        <v>55</v>
      </c>
      <c r="R34" s="4" t="s">
        <v>244</v>
      </c>
      <c r="S34" s="4" t="s">
        <v>246</v>
      </c>
      <c r="T34" s="4" t="s">
        <v>236</v>
      </c>
    </row>
    <row r="35" spans="1:20" x14ac:dyDescent="0.2">
      <c r="A35">
        <v>33</v>
      </c>
      <c r="B35">
        <v>38.330041961744399</v>
      </c>
      <c r="C35">
        <f>-28.2938869670033</f>
        <v>-28.293886967003299</v>
      </c>
      <c r="D35" s="1">
        <v>41152</v>
      </c>
      <c r="E35" s="2">
        <v>0.66060185185185183</v>
      </c>
      <c r="F35" t="s">
        <v>56</v>
      </c>
      <c r="G35" t="s">
        <v>57</v>
      </c>
      <c r="R35" s="4" t="s">
        <v>253</v>
      </c>
      <c r="S35" s="4" t="s">
        <v>238</v>
      </c>
      <c r="T35" s="4" t="s">
        <v>236</v>
      </c>
    </row>
    <row r="36" spans="1:20" x14ac:dyDescent="0.2">
      <c r="A36">
        <v>34</v>
      </c>
      <c r="B36">
        <v>38.379006022587397</v>
      </c>
      <c r="C36">
        <f>-28.3185409940779</f>
        <v>-28.3185409940779</v>
      </c>
      <c r="D36" s="1">
        <v>41155</v>
      </c>
      <c r="E36" s="2">
        <v>0.44973379629629634</v>
      </c>
      <c r="F36" t="s">
        <v>58</v>
      </c>
      <c r="G36" t="s">
        <v>59</v>
      </c>
      <c r="R36" s="4" t="s">
        <v>235</v>
      </c>
      <c r="S36" s="4" t="s">
        <v>238</v>
      </c>
      <c r="T36" s="4" t="s">
        <v>236</v>
      </c>
    </row>
    <row r="37" spans="1:20" x14ac:dyDescent="0.2">
      <c r="A37">
        <v>35</v>
      </c>
      <c r="B37">
        <v>38.343157963827203</v>
      </c>
      <c r="C37">
        <f>-28.2663769740611</f>
        <v>-28.2663769740611</v>
      </c>
      <c r="D37" s="1">
        <v>41159</v>
      </c>
      <c r="E37" s="2">
        <v>0.44578703703703698</v>
      </c>
      <c r="F37" t="s">
        <v>60</v>
      </c>
      <c r="G37" t="s">
        <v>61</v>
      </c>
      <c r="R37" s="4" t="s">
        <v>235</v>
      </c>
      <c r="S37" s="4" t="s">
        <v>238</v>
      </c>
      <c r="T37" s="4" t="s">
        <v>236</v>
      </c>
    </row>
    <row r="38" spans="1:20" x14ac:dyDescent="0.2">
      <c r="A38">
        <v>36</v>
      </c>
      <c r="B38">
        <v>38.376107979565802</v>
      </c>
      <c r="C38">
        <f>-28.3030970022082</f>
        <v>-28.303097002208201</v>
      </c>
      <c r="D38" s="1">
        <v>41159</v>
      </c>
      <c r="E38" s="2">
        <v>0.46001157407407406</v>
      </c>
      <c r="F38" t="s">
        <v>62</v>
      </c>
      <c r="G38" t="s">
        <v>55</v>
      </c>
      <c r="R38" s="4" t="s">
        <v>237</v>
      </c>
      <c r="S38" s="4" t="s">
        <v>235</v>
      </c>
      <c r="T38" s="4" t="s">
        <v>254</v>
      </c>
    </row>
    <row r="39" spans="1:20" x14ac:dyDescent="0.2">
      <c r="A39">
        <v>37</v>
      </c>
      <c r="B39">
        <v>38.352438993752003</v>
      </c>
      <c r="C39">
        <f>-28.1861619930714</f>
        <v>-28.186161993071401</v>
      </c>
      <c r="D39" s="1">
        <v>41459</v>
      </c>
      <c r="E39" s="2">
        <v>0.75121527777777775</v>
      </c>
      <c r="F39" t="s">
        <v>63</v>
      </c>
      <c r="G39" t="s">
        <v>10</v>
      </c>
      <c r="R39" s="4" t="s">
        <v>237</v>
      </c>
      <c r="S39" s="4" t="s">
        <v>235</v>
      </c>
      <c r="T39" s="4" t="s">
        <v>254</v>
      </c>
    </row>
    <row r="40" spans="1:20" x14ac:dyDescent="0.2">
      <c r="A40">
        <v>38</v>
      </c>
      <c r="B40">
        <v>38.356936974450903</v>
      </c>
      <c r="C40">
        <f>-28.1786460243165</f>
        <v>-28.1786460243165</v>
      </c>
      <c r="D40" s="1">
        <v>41459</v>
      </c>
      <c r="E40" s="2">
        <v>0.75531250000000005</v>
      </c>
      <c r="F40" t="s">
        <v>64</v>
      </c>
      <c r="G40" t="s">
        <v>65</v>
      </c>
      <c r="R40" s="4" t="s">
        <v>235</v>
      </c>
      <c r="S40" s="4" t="s">
        <v>235</v>
      </c>
      <c r="T40" s="4" t="s">
        <v>254</v>
      </c>
    </row>
    <row r="41" spans="1:20" x14ac:dyDescent="0.2">
      <c r="A41">
        <v>39</v>
      </c>
      <c r="B41">
        <v>38.341558026149798</v>
      </c>
      <c r="C41">
        <f>-28.3441099897027</f>
        <v>-28.344109989702702</v>
      </c>
      <c r="D41" s="1">
        <v>41462</v>
      </c>
      <c r="E41" s="2">
        <v>0.46089120370370368</v>
      </c>
      <c r="F41" t="s">
        <v>66</v>
      </c>
      <c r="G41" t="s">
        <v>10</v>
      </c>
      <c r="R41" s="4" t="s">
        <v>235</v>
      </c>
      <c r="S41" s="4" t="s">
        <v>235</v>
      </c>
      <c r="T41" s="4" t="s">
        <v>254</v>
      </c>
    </row>
    <row r="42" spans="1:20" x14ac:dyDescent="0.2">
      <c r="A42">
        <v>40</v>
      </c>
      <c r="B42">
        <v>38.337199017405503</v>
      </c>
      <c r="C42">
        <f>-28.3346769958734</f>
        <v>-28.334676995873401</v>
      </c>
      <c r="D42" s="1">
        <v>41462</v>
      </c>
      <c r="E42" s="2">
        <v>0.47085648148148151</v>
      </c>
      <c r="F42" t="s">
        <v>67</v>
      </c>
      <c r="G42" t="s">
        <v>68</v>
      </c>
      <c r="R42" s="4" t="s">
        <v>239</v>
      </c>
      <c r="S42" s="4" t="s">
        <v>235</v>
      </c>
      <c r="T42" s="4" t="s">
        <v>254</v>
      </c>
    </row>
    <row r="43" spans="1:20" x14ac:dyDescent="0.2">
      <c r="A43">
        <v>41</v>
      </c>
      <c r="B43">
        <v>38.292841985821703</v>
      </c>
      <c r="C43">
        <f>-28.3223540056496</f>
        <v>-28.322354005649601</v>
      </c>
      <c r="D43" s="1">
        <v>41465</v>
      </c>
      <c r="E43" s="2">
        <v>0.73255787037037035</v>
      </c>
      <c r="F43" t="s">
        <v>69</v>
      </c>
      <c r="G43" t="s">
        <v>70</v>
      </c>
      <c r="R43" s="4" t="s">
        <v>255</v>
      </c>
      <c r="S43" s="4" t="s">
        <v>235</v>
      </c>
      <c r="T43" s="4" t="s">
        <v>254</v>
      </c>
    </row>
    <row r="44" spans="1:20" x14ac:dyDescent="0.2">
      <c r="A44">
        <v>42</v>
      </c>
      <c r="B44">
        <v>38.379782019182997</v>
      </c>
      <c r="C44">
        <f>-28.3080320153385</f>
        <v>-28.308032015338501</v>
      </c>
      <c r="D44" s="1">
        <v>41467</v>
      </c>
      <c r="E44" s="2">
        <v>0.42934027777777778</v>
      </c>
      <c r="F44" t="s">
        <v>71</v>
      </c>
      <c r="G44" t="s">
        <v>10</v>
      </c>
      <c r="R44" s="4" t="s">
        <v>255</v>
      </c>
      <c r="S44" s="4" t="s">
        <v>235</v>
      </c>
      <c r="T44" s="4" t="s">
        <v>254</v>
      </c>
    </row>
    <row r="45" spans="1:20" x14ac:dyDescent="0.2">
      <c r="A45">
        <v>43</v>
      </c>
      <c r="B45">
        <v>38.365408983081501</v>
      </c>
      <c r="C45">
        <f>-28.3040689677</f>
        <v>-28.304068967700001</v>
      </c>
      <c r="D45" s="1">
        <v>41467</v>
      </c>
      <c r="E45" s="2">
        <v>0.43762731481481482</v>
      </c>
      <c r="F45" t="s">
        <v>72</v>
      </c>
      <c r="G45" t="s">
        <v>73</v>
      </c>
      <c r="R45" s="4" t="s">
        <v>255</v>
      </c>
      <c r="S45" s="4" t="s">
        <v>235</v>
      </c>
      <c r="T45" s="4" t="s">
        <v>254</v>
      </c>
    </row>
    <row r="46" spans="1:20" x14ac:dyDescent="0.2">
      <c r="A46">
        <v>44</v>
      </c>
      <c r="B46">
        <v>38.322596987709403</v>
      </c>
      <c r="C46">
        <f>-28.3849779702723</f>
        <v>-28.384977970272299</v>
      </c>
      <c r="D46" s="1">
        <v>41467</v>
      </c>
      <c r="E46" s="2">
        <v>0.72642361111111109</v>
      </c>
      <c r="F46" t="s">
        <v>74</v>
      </c>
      <c r="G46" t="s">
        <v>75</v>
      </c>
      <c r="R46" s="4" t="s">
        <v>235</v>
      </c>
      <c r="S46" s="4" t="s">
        <v>238</v>
      </c>
      <c r="T46" s="4" t="s">
        <v>254</v>
      </c>
    </row>
    <row r="47" spans="1:20" x14ac:dyDescent="0.2">
      <c r="A47">
        <v>45</v>
      </c>
      <c r="B47">
        <v>38.2914319820702</v>
      </c>
      <c r="C47">
        <f>-28.0246530286967</f>
        <v>-28.024653028696701</v>
      </c>
      <c r="D47" s="1">
        <v>41524</v>
      </c>
      <c r="E47" s="2">
        <v>0.49642361111111111</v>
      </c>
      <c r="F47" t="s">
        <v>76</v>
      </c>
      <c r="G47" t="s">
        <v>77</v>
      </c>
      <c r="R47" s="4" t="s">
        <v>238</v>
      </c>
      <c r="S47" s="4" t="s">
        <v>238</v>
      </c>
      <c r="T47" s="4" t="s">
        <v>254</v>
      </c>
    </row>
    <row r="48" spans="1:20" x14ac:dyDescent="0.2">
      <c r="A48">
        <v>46</v>
      </c>
      <c r="B48">
        <v>38.313252003863397</v>
      </c>
      <c r="C48">
        <f>-27.9507920332252</f>
        <v>-27.950792033225198</v>
      </c>
      <c r="D48" s="1">
        <v>41526</v>
      </c>
      <c r="E48" s="2">
        <v>0.6582175925925926</v>
      </c>
      <c r="F48" t="s">
        <v>78</v>
      </c>
      <c r="G48" t="s">
        <v>79</v>
      </c>
      <c r="R48" s="4" t="s">
        <v>235</v>
      </c>
      <c r="S48" s="4" t="s">
        <v>235</v>
      </c>
      <c r="T48" s="4" t="s">
        <v>256</v>
      </c>
    </row>
    <row r="49" spans="1:20" x14ac:dyDescent="0.2">
      <c r="A49">
        <v>47</v>
      </c>
      <c r="B49">
        <v>38.3670870400965</v>
      </c>
      <c r="C49">
        <f>-28.1786190345883</f>
        <v>-28.178619034588301</v>
      </c>
      <c r="D49" s="1">
        <v>41827</v>
      </c>
      <c r="E49" s="2">
        <v>0.65065972222222224</v>
      </c>
      <c r="F49" t="s">
        <v>80</v>
      </c>
      <c r="G49" t="s">
        <v>81</v>
      </c>
      <c r="R49" s="4" t="s">
        <v>235</v>
      </c>
      <c r="S49" s="4" t="s">
        <v>235</v>
      </c>
      <c r="T49" s="4" t="s">
        <v>256</v>
      </c>
    </row>
    <row r="50" spans="1:20" x14ac:dyDescent="0.2">
      <c r="A50">
        <v>48</v>
      </c>
      <c r="B50">
        <v>38.3111520018428</v>
      </c>
      <c r="C50">
        <f>-28.2105779740959</f>
        <v>-28.210577974095902</v>
      </c>
      <c r="D50" s="1">
        <v>41827</v>
      </c>
      <c r="E50" s="2">
        <v>0.71348379629629621</v>
      </c>
      <c r="F50" t="s">
        <v>82</v>
      </c>
      <c r="G50" t="s">
        <v>83</v>
      </c>
      <c r="R50" s="4" t="s">
        <v>238</v>
      </c>
      <c r="S50" s="4" t="s">
        <v>235</v>
      </c>
      <c r="T50" s="4" t="s">
        <v>256</v>
      </c>
    </row>
    <row r="51" spans="1:20" x14ac:dyDescent="0.2">
      <c r="A51">
        <v>49</v>
      </c>
      <c r="B51">
        <v>38.394081965088802</v>
      </c>
      <c r="C51">
        <f>-28.4716949611902</f>
        <v>-28.471694961190199</v>
      </c>
      <c r="D51" s="1">
        <v>41829</v>
      </c>
      <c r="E51" s="2">
        <v>0.50650462962962961</v>
      </c>
      <c r="F51" t="s">
        <v>84</v>
      </c>
      <c r="G51" t="s">
        <v>10</v>
      </c>
      <c r="R51" s="4" t="s">
        <v>238</v>
      </c>
      <c r="S51" s="4" t="s">
        <v>235</v>
      </c>
      <c r="T51" s="4" t="s">
        <v>256</v>
      </c>
    </row>
    <row r="52" spans="1:20" x14ac:dyDescent="0.2">
      <c r="A52">
        <v>50</v>
      </c>
      <c r="B52">
        <v>38.386036008596399</v>
      </c>
      <c r="C52">
        <f>-28.4706410206854</f>
        <v>-28.470641020685399</v>
      </c>
      <c r="D52" s="1">
        <v>41829</v>
      </c>
      <c r="E52" s="2">
        <v>0.51134259259259263</v>
      </c>
      <c r="F52" t="s">
        <v>85</v>
      </c>
      <c r="G52" t="s">
        <v>86</v>
      </c>
      <c r="R52" s="4" t="s">
        <v>238</v>
      </c>
      <c r="S52" s="4" t="s">
        <v>235</v>
      </c>
      <c r="T52" s="4" t="s">
        <v>256</v>
      </c>
    </row>
    <row r="53" spans="1:20" x14ac:dyDescent="0.2">
      <c r="A53">
        <v>51</v>
      </c>
      <c r="B53">
        <v>38.379627037793298</v>
      </c>
      <c r="C53">
        <f>-28.4471830073744</f>
        <v>-28.447183007374399</v>
      </c>
      <c r="D53" s="1">
        <v>41829</v>
      </c>
      <c r="E53" s="2">
        <v>0.517511574074074</v>
      </c>
      <c r="F53" t="s">
        <v>87</v>
      </c>
      <c r="G53" t="s">
        <v>10</v>
      </c>
      <c r="R53" s="4" t="s">
        <v>238</v>
      </c>
      <c r="S53" s="4" t="s">
        <v>235</v>
      </c>
      <c r="T53" s="4" t="s">
        <v>256</v>
      </c>
    </row>
    <row r="54" spans="1:20" x14ac:dyDescent="0.2">
      <c r="A54">
        <v>52</v>
      </c>
      <c r="B54">
        <v>38.369198022410202</v>
      </c>
      <c r="C54">
        <f>-28.4493680018931</f>
        <v>-28.449368001893099</v>
      </c>
      <c r="D54" s="1">
        <v>41829</v>
      </c>
      <c r="E54" s="2">
        <v>0.52253472222222219</v>
      </c>
      <c r="F54" t="s">
        <v>88</v>
      </c>
      <c r="G54" t="s">
        <v>89</v>
      </c>
      <c r="R54" s="4" t="s">
        <v>257</v>
      </c>
      <c r="S54" s="4" t="s">
        <v>235</v>
      </c>
      <c r="T54" s="4" t="s">
        <v>256</v>
      </c>
    </row>
    <row r="55" spans="1:20" x14ac:dyDescent="0.2">
      <c r="A55">
        <v>53</v>
      </c>
      <c r="B55">
        <v>38.295119013637297</v>
      </c>
      <c r="C55">
        <f>-28.3841319847851</f>
        <v>-28.3841319847851</v>
      </c>
      <c r="D55" s="1">
        <v>41835</v>
      </c>
      <c r="E55" s="2">
        <v>0.6994097222222222</v>
      </c>
      <c r="F55" t="s">
        <v>90</v>
      </c>
      <c r="G55" t="s">
        <v>10</v>
      </c>
      <c r="R55" s="4" t="s">
        <v>257</v>
      </c>
      <c r="S55" s="4" t="s">
        <v>235</v>
      </c>
      <c r="T55" s="4" t="s">
        <v>256</v>
      </c>
    </row>
    <row r="56" spans="1:20" x14ac:dyDescent="0.2">
      <c r="A56">
        <v>54</v>
      </c>
      <c r="B56">
        <v>38.291093017905901</v>
      </c>
      <c r="C56">
        <f>-28.3801769837737</f>
        <v>-28.380176983773701</v>
      </c>
      <c r="D56" s="1">
        <v>41835</v>
      </c>
      <c r="E56" s="2">
        <v>0.70140046296296299</v>
      </c>
      <c r="F56" t="s">
        <v>91</v>
      </c>
      <c r="G56" t="s">
        <v>92</v>
      </c>
      <c r="R56" s="4" t="s">
        <v>248</v>
      </c>
      <c r="S56" s="4" t="s">
        <v>235</v>
      </c>
      <c r="T56" s="4" t="s">
        <v>256</v>
      </c>
    </row>
    <row r="57" spans="1:20" x14ac:dyDescent="0.2">
      <c r="A57">
        <v>55</v>
      </c>
      <c r="B57">
        <v>38.365589026361697</v>
      </c>
      <c r="C57">
        <f>-28.1764050386846</f>
        <v>-28.176405038684599</v>
      </c>
      <c r="D57" s="1">
        <v>41843</v>
      </c>
      <c r="E57" s="2">
        <v>0.45273148148148151</v>
      </c>
      <c r="F57" t="s">
        <v>93</v>
      </c>
      <c r="G57" t="s">
        <v>94</v>
      </c>
      <c r="R57" s="4" t="s">
        <v>258</v>
      </c>
      <c r="S57" s="4" t="s">
        <v>259</v>
      </c>
      <c r="T57" s="4" t="s">
        <v>260</v>
      </c>
    </row>
    <row r="58" spans="1:20" x14ac:dyDescent="0.2">
      <c r="A58">
        <v>56</v>
      </c>
      <c r="B58">
        <v>38.3266020286828</v>
      </c>
      <c r="C58">
        <f>-28.2373350206762</f>
        <v>-28.237335020676198</v>
      </c>
      <c r="D58" s="1">
        <v>42181</v>
      </c>
      <c r="E58" s="2">
        <v>0.69045138888888891</v>
      </c>
      <c r="F58" t="s">
        <v>95</v>
      </c>
      <c r="G58" t="s">
        <v>96</v>
      </c>
      <c r="R58" s="4" t="s">
        <v>245</v>
      </c>
      <c r="S58" s="4" t="s">
        <v>235</v>
      </c>
      <c r="T58" s="4" t="s">
        <v>260</v>
      </c>
    </row>
    <row r="59" spans="1:20" x14ac:dyDescent="0.2">
      <c r="A59">
        <v>57</v>
      </c>
      <c r="B59">
        <v>38.360539013519798</v>
      </c>
      <c r="C59">
        <f>-28.1879249587655</f>
        <v>-28.1879249587655</v>
      </c>
      <c r="D59" s="1">
        <v>42186</v>
      </c>
      <c r="E59" s="2">
        <v>0.48350694444444442</v>
      </c>
      <c r="F59" t="s">
        <v>97</v>
      </c>
      <c r="G59" t="s">
        <v>98</v>
      </c>
      <c r="R59" s="4" t="s">
        <v>245</v>
      </c>
      <c r="S59" s="4" t="s">
        <v>235</v>
      </c>
      <c r="T59" s="4" t="s">
        <v>260</v>
      </c>
    </row>
    <row r="60" spans="1:20" x14ac:dyDescent="0.2">
      <c r="A60">
        <v>58</v>
      </c>
      <c r="B60">
        <v>38.392540030181401</v>
      </c>
      <c r="C60">
        <f>-28.4413679782301</f>
        <v>-28.441367978230101</v>
      </c>
      <c r="D60" s="1">
        <v>42186</v>
      </c>
      <c r="E60" s="2">
        <v>0.67578703703703702</v>
      </c>
      <c r="F60" t="s">
        <v>99</v>
      </c>
      <c r="G60" t="s">
        <v>10</v>
      </c>
      <c r="R60" s="4" t="s">
        <v>245</v>
      </c>
      <c r="S60" s="4" t="s">
        <v>235</v>
      </c>
      <c r="T60" s="4" t="s">
        <v>260</v>
      </c>
    </row>
    <row r="61" spans="1:20" x14ac:dyDescent="0.2">
      <c r="A61">
        <v>59</v>
      </c>
      <c r="B61">
        <v>38.385337963700202</v>
      </c>
      <c r="C61">
        <f>-28.4314139652997</f>
        <v>-28.431413965299701</v>
      </c>
      <c r="D61" s="1">
        <v>42186</v>
      </c>
      <c r="E61" s="2">
        <v>0.68409722222222225</v>
      </c>
      <c r="F61" t="s">
        <v>100</v>
      </c>
      <c r="G61" t="s">
        <v>101</v>
      </c>
      <c r="R61" s="4" t="s">
        <v>239</v>
      </c>
      <c r="S61" s="4" t="s">
        <v>235</v>
      </c>
      <c r="T61" s="4" t="s">
        <v>260</v>
      </c>
    </row>
    <row r="62" spans="1:20" x14ac:dyDescent="0.2">
      <c r="A62">
        <v>60</v>
      </c>
      <c r="B62">
        <v>38.377854013815501</v>
      </c>
      <c r="C62">
        <f>-28.1679829861968</f>
        <v>-28.167982986196801</v>
      </c>
      <c r="D62" s="1">
        <v>42195</v>
      </c>
      <c r="E62" s="2">
        <v>0.45606481481481481</v>
      </c>
      <c r="F62" t="s">
        <v>102</v>
      </c>
      <c r="G62" t="s">
        <v>10</v>
      </c>
      <c r="R62" s="4" t="s">
        <v>239</v>
      </c>
      <c r="S62" s="4" t="s">
        <v>235</v>
      </c>
      <c r="T62" s="4" t="s">
        <v>260</v>
      </c>
    </row>
    <row r="63" spans="1:20" x14ac:dyDescent="0.2">
      <c r="A63">
        <v>61</v>
      </c>
      <c r="B63">
        <v>38.380633033812003</v>
      </c>
      <c r="C63">
        <f>-28.1769129820168</f>
        <v>-28.176912982016798</v>
      </c>
      <c r="D63" s="1">
        <v>42195</v>
      </c>
      <c r="E63" s="2">
        <v>0.46334490740740741</v>
      </c>
      <c r="F63" t="s">
        <v>103</v>
      </c>
      <c r="G63" t="s">
        <v>104</v>
      </c>
      <c r="R63" s="4" t="s">
        <v>242</v>
      </c>
      <c r="S63" s="4" t="s">
        <v>235</v>
      </c>
      <c r="T63" s="4" t="s">
        <v>260</v>
      </c>
    </row>
    <row r="64" spans="1:20" x14ac:dyDescent="0.2">
      <c r="A64">
        <v>62</v>
      </c>
      <c r="B64">
        <v>38.199428021907799</v>
      </c>
      <c r="C64">
        <f>-28.1795350089669</f>
        <v>-28.179535008966901</v>
      </c>
      <c r="D64" s="1">
        <v>42206</v>
      </c>
      <c r="E64" s="2">
        <v>0.68925925925925924</v>
      </c>
      <c r="F64" t="s">
        <v>105</v>
      </c>
      <c r="G64" t="s">
        <v>106</v>
      </c>
      <c r="R64" s="4" t="s">
        <v>258</v>
      </c>
      <c r="S64" s="4" t="s">
        <v>235</v>
      </c>
      <c r="T64" s="4" t="s">
        <v>260</v>
      </c>
    </row>
    <row r="65" spans="1:20" x14ac:dyDescent="0.2">
      <c r="A65">
        <v>63</v>
      </c>
      <c r="B65">
        <v>38.352763960137899</v>
      </c>
      <c r="C65">
        <f>-28.2280359696596</f>
        <v>-28.228035969659601</v>
      </c>
      <c r="D65" s="1">
        <v>42211</v>
      </c>
      <c r="E65" s="2">
        <v>0.46694444444444444</v>
      </c>
      <c r="F65" t="s">
        <v>107</v>
      </c>
      <c r="G65" t="s">
        <v>108</v>
      </c>
      <c r="R65" s="4" t="s">
        <v>261</v>
      </c>
      <c r="S65" s="4" t="s">
        <v>246</v>
      </c>
      <c r="T65" s="4" t="s">
        <v>260</v>
      </c>
    </row>
    <row r="66" spans="1:20" x14ac:dyDescent="0.2">
      <c r="A66">
        <v>64</v>
      </c>
      <c r="B66">
        <v>38.365936959162298</v>
      </c>
      <c r="C66">
        <f>-28.313039029017</f>
        <v>-28.313039029016998</v>
      </c>
      <c r="D66" s="1">
        <v>42245</v>
      </c>
      <c r="E66" s="2">
        <v>0.46626157407407409</v>
      </c>
      <c r="F66" t="s">
        <v>109</v>
      </c>
      <c r="G66" t="s">
        <v>10</v>
      </c>
      <c r="R66" s="4" t="s">
        <v>261</v>
      </c>
      <c r="S66" s="4" t="s">
        <v>246</v>
      </c>
      <c r="T66" s="4" t="s">
        <v>260</v>
      </c>
    </row>
    <row r="67" spans="1:20" x14ac:dyDescent="0.2">
      <c r="A67">
        <v>65</v>
      </c>
      <c r="B67">
        <v>38.368395036086397</v>
      </c>
      <c r="C67">
        <f>-28.3146370388567</f>
        <v>-28.314637038856699</v>
      </c>
      <c r="D67" s="1">
        <v>42245</v>
      </c>
      <c r="E67" s="2">
        <v>0.46815972222222224</v>
      </c>
      <c r="F67" t="s">
        <v>110</v>
      </c>
      <c r="G67" t="s">
        <v>111</v>
      </c>
      <c r="R67" s="4" t="s">
        <v>237</v>
      </c>
      <c r="S67" s="4" t="s">
        <v>238</v>
      </c>
      <c r="T67" s="4" t="s">
        <v>260</v>
      </c>
    </row>
    <row r="68" spans="1:20" x14ac:dyDescent="0.2">
      <c r="A68">
        <v>66</v>
      </c>
      <c r="B68">
        <v>38.339085029438102</v>
      </c>
      <c r="C68">
        <f>-28.3431289717555</f>
        <v>-28.343128971755501</v>
      </c>
      <c r="D68" s="1">
        <v>42251</v>
      </c>
      <c r="E68" s="2">
        <v>0.68541666666666667</v>
      </c>
      <c r="F68" t="s">
        <v>112</v>
      </c>
      <c r="G68" t="s">
        <v>113</v>
      </c>
      <c r="R68" s="4" t="s">
        <v>259</v>
      </c>
      <c r="S68" s="4" t="s">
        <v>239</v>
      </c>
      <c r="T68" s="4" t="s">
        <v>260</v>
      </c>
    </row>
    <row r="69" spans="1:20" x14ac:dyDescent="0.2">
      <c r="A69">
        <v>67</v>
      </c>
      <c r="B69">
        <v>38.3909519948065</v>
      </c>
      <c r="C69">
        <f>-28.4189449623227</f>
        <v>-28.418944962322701</v>
      </c>
      <c r="D69" s="1">
        <v>42283</v>
      </c>
      <c r="E69" s="2">
        <v>0.7374074074074074</v>
      </c>
      <c r="F69" t="s">
        <v>114</v>
      </c>
      <c r="G69" t="s">
        <v>115</v>
      </c>
      <c r="R69" s="4" t="s">
        <v>240</v>
      </c>
      <c r="S69" s="4" t="s">
        <v>239</v>
      </c>
      <c r="T69" s="4" t="s">
        <v>260</v>
      </c>
    </row>
    <row r="70" spans="1:20" x14ac:dyDescent="0.2">
      <c r="A70">
        <v>68</v>
      </c>
      <c r="B70">
        <v>38.312099995091501</v>
      </c>
      <c r="C70">
        <f>-28.3599510323256</f>
        <v>-28.359951032325601</v>
      </c>
      <c r="D70" s="1">
        <v>42295</v>
      </c>
      <c r="E70" s="2">
        <v>0.43119212962962966</v>
      </c>
      <c r="F70" t="s">
        <v>116</v>
      </c>
      <c r="G70" t="s">
        <v>117</v>
      </c>
      <c r="R70" s="4" t="s">
        <v>262</v>
      </c>
      <c r="S70" s="4" t="s">
        <v>237</v>
      </c>
      <c r="T70" s="4" t="s">
        <v>263</v>
      </c>
    </row>
    <row r="71" spans="1:20" x14ac:dyDescent="0.2">
      <c r="A71">
        <v>69</v>
      </c>
      <c r="B71">
        <v>38.270339006557997</v>
      </c>
      <c r="C71">
        <f>-28.4096409659832</f>
        <v>-28.409640965983201</v>
      </c>
      <c r="D71" s="1">
        <v>42476</v>
      </c>
      <c r="E71" s="2">
        <v>0.48231481481481481</v>
      </c>
      <c r="F71" t="s">
        <v>118</v>
      </c>
      <c r="G71" t="s">
        <v>119</v>
      </c>
      <c r="R71" s="4" t="s">
        <v>247</v>
      </c>
      <c r="S71" s="4" t="s">
        <v>237</v>
      </c>
      <c r="T71" s="4" t="s">
        <v>263</v>
      </c>
    </row>
    <row r="72" spans="1:20" x14ac:dyDescent="0.2">
      <c r="A72">
        <v>70</v>
      </c>
      <c r="B72">
        <v>38.362244982272301</v>
      </c>
      <c r="C72">
        <f>-28.28388299793</f>
        <v>-28.28388299793</v>
      </c>
      <c r="D72" s="1">
        <v>42477</v>
      </c>
      <c r="E72" s="2">
        <v>0.48561342592592593</v>
      </c>
      <c r="F72" t="s">
        <v>120</v>
      </c>
      <c r="G72" t="s">
        <v>121</v>
      </c>
      <c r="R72" s="4" t="s">
        <v>252</v>
      </c>
      <c r="S72" s="4" t="s">
        <v>259</v>
      </c>
      <c r="T72" s="4" t="s">
        <v>263</v>
      </c>
    </row>
    <row r="73" spans="1:20" x14ac:dyDescent="0.2">
      <c r="A73">
        <v>71</v>
      </c>
      <c r="B73">
        <v>38.370491014793501</v>
      </c>
      <c r="C73">
        <f>-28.3152990415692</f>
        <v>-28.315299041569201</v>
      </c>
      <c r="D73" s="1">
        <v>42549</v>
      </c>
      <c r="E73" s="2">
        <v>0.40813657407407411</v>
      </c>
      <c r="F73" t="s">
        <v>122</v>
      </c>
      <c r="G73" t="s">
        <v>10</v>
      </c>
      <c r="R73" s="4" t="s">
        <v>252</v>
      </c>
      <c r="S73" s="4" t="s">
        <v>259</v>
      </c>
      <c r="T73" s="4" t="s">
        <v>263</v>
      </c>
    </row>
    <row r="74" spans="1:20" x14ac:dyDescent="0.2">
      <c r="A74">
        <v>72</v>
      </c>
      <c r="B74">
        <v>38.366252034902502</v>
      </c>
      <c r="C74">
        <f>-28.3194630034267</f>
        <v>-28.319463003426701</v>
      </c>
      <c r="D74" s="1">
        <v>42549</v>
      </c>
      <c r="E74" s="2">
        <v>0.41438657407407403</v>
      </c>
      <c r="F74" t="s">
        <v>123</v>
      </c>
      <c r="G74" t="s">
        <v>124</v>
      </c>
      <c r="R74" s="4" t="s">
        <v>237</v>
      </c>
      <c r="S74" s="4" t="s">
        <v>235</v>
      </c>
      <c r="T74" s="4" t="s">
        <v>263</v>
      </c>
    </row>
    <row r="75" spans="1:20" x14ac:dyDescent="0.2">
      <c r="A75">
        <v>73</v>
      </c>
      <c r="B75">
        <v>38.341574035584898</v>
      </c>
      <c r="C75">
        <f>-28.2816959917545</f>
        <v>-28.2816959917545</v>
      </c>
      <c r="D75" s="1">
        <v>42555</v>
      </c>
      <c r="E75" s="2">
        <v>0.45968750000000003</v>
      </c>
      <c r="F75" t="s">
        <v>125</v>
      </c>
      <c r="G75" t="s">
        <v>126</v>
      </c>
      <c r="R75" s="4" t="s">
        <v>237</v>
      </c>
      <c r="S75" s="4" t="s">
        <v>235</v>
      </c>
      <c r="T75" s="4" t="s">
        <v>263</v>
      </c>
    </row>
    <row r="76" spans="1:20" x14ac:dyDescent="0.2">
      <c r="A76">
        <v>74</v>
      </c>
      <c r="B76">
        <v>38.3364090230315</v>
      </c>
      <c r="C76">
        <f>-28.2954060193151</f>
        <v>-28.295406019315099</v>
      </c>
      <c r="D76" s="1">
        <v>42555</v>
      </c>
      <c r="E76" s="2">
        <v>0.73957175925925922</v>
      </c>
      <c r="F76" t="s">
        <v>127</v>
      </c>
      <c r="G76" t="s">
        <v>128</v>
      </c>
      <c r="R76" s="4" t="s">
        <v>246</v>
      </c>
      <c r="S76" s="4" t="s">
        <v>235</v>
      </c>
      <c r="T76" s="4" t="s">
        <v>263</v>
      </c>
    </row>
    <row r="77" spans="1:20" x14ac:dyDescent="0.2">
      <c r="A77">
        <v>75</v>
      </c>
      <c r="B77">
        <v>38.364581018686202</v>
      </c>
      <c r="C77">
        <f>-28.1455909833312</f>
        <v>-28.1455909833312</v>
      </c>
      <c r="D77" s="1">
        <v>42559</v>
      </c>
      <c r="E77" s="2">
        <v>0.48177083333333331</v>
      </c>
      <c r="F77" t="s">
        <v>129</v>
      </c>
      <c r="G77" t="s">
        <v>130</v>
      </c>
      <c r="R77" s="4" t="s">
        <v>264</v>
      </c>
      <c r="S77" s="4" t="s">
        <v>235</v>
      </c>
      <c r="T77" s="4" t="s">
        <v>263</v>
      </c>
    </row>
    <row r="78" spans="1:20" x14ac:dyDescent="0.2">
      <c r="A78">
        <v>76</v>
      </c>
      <c r="B78">
        <v>38.339898996055098</v>
      </c>
      <c r="C78">
        <f>-28.2799430005252</f>
        <v>-28.279943000525201</v>
      </c>
      <c r="D78" s="1">
        <v>42562</v>
      </c>
      <c r="E78" s="2">
        <v>0.70807870370370374</v>
      </c>
      <c r="F78" t="s">
        <v>131</v>
      </c>
      <c r="G78" t="s">
        <v>10</v>
      </c>
      <c r="R78" s="4" t="s">
        <v>264</v>
      </c>
      <c r="S78" s="4" t="s">
        <v>235</v>
      </c>
      <c r="T78" s="4" t="s">
        <v>263</v>
      </c>
    </row>
    <row r="79" spans="1:20" x14ac:dyDescent="0.2">
      <c r="A79">
        <v>77</v>
      </c>
      <c r="B79">
        <v>38.340504001825998</v>
      </c>
      <c r="C79">
        <f>-28.282136041671</f>
        <v>-28.282136041670999</v>
      </c>
      <c r="D79" s="1">
        <v>42562</v>
      </c>
      <c r="E79" s="2">
        <v>0.70988425925925924</v>
      </c>
      <c r="F79" t="s">
        <v>132</v>
      </c>
      <c r="G79" t="s">
        <v>133</v>
      </c>
      <c r="R79" s="4" t="s">
        <v>265</v>
      </c>
      <c r="S79" s="4" t="s">
        <v>235</v>
      </c>
      <c r="T79" s="4" t="s">
        <v>263</v>
      </c>
    </row>
    <row r="80" spans="1:20" x14ac:dyDescent="0.2">
      <c r="A80">
        <v>78</v>
      </c>
      <c r="B80">
        <v>38.342795027419903</v>
      </c>
      <c r="C80">
        <f>-28.1475459784269</f>
        <v>-28.147545978426901</v>
      </c>
      <c r="D80" s="1">
        <v>42565</v>
      </c>
      <c r="E80" s="2">
        <v>0.51158564814814811</v>
      </c>
      <c r="F80" t="s">
        <v>134</v>
      </c>
      <c r="G80" t="s">
        <v>10</v>
      </c>
      <c r="R80" s="4" t="s">
        <v>265</v>
      </c>
      <c r="S80" s="4" t="s">
        <v>235</v>
      </c>
      <c r="T80" s="4" t="s">
        <v>263</v>
      </c>
    </row>
    <row r="81" spans="1:20" x14ac:dyDescent="0.2">
      <c r="A81">
        <v>79</v>
      </c>
      <c r="B81">
        <v>38.344412986189099</v>
      </c>
      <c r="C81">
        <f>-28.141531040892</f>
        <v>-28.141531040892001</v>
      </c>
      <c r="D81" s="1">
        <v>42565</v>
      </c>
      <c r="E81" s="2">
        <v>0.51479166666666665</v>
      </c>
      <c r="F81" t="s">
        <v>135</v>
      </c>
      <c r="G81" t="s">
        <v>136</v>
      </c>
      <c r="R81" s="4" t="s">
        <v>265</v>
      </c>
      <c r="S81" s="4" t="s">
        <v>235</v>
      </c>
      <c r="T81" s="4" t="s">
        <v>263</v>
      </c>
    </row>
    <row r="82" spans="1:20" x14ac:dyDescent="0.2">
      <c r="A82">
        <v>80</v>
      </c>
      <c r="B82">
        <v>38.280793000012601</v>
      </c>
      <c r="C82">
        <f>-28.3163000084459</f>
        <v>-28.3163000084459</v>
      </c>
      <c r="D82" s="1">
        <v>42565</v>
      </c>
      <c r="E82" s="2">
        <v>0.64962962962962967</v>
      </c>
      <c r="F82" t="s">
        <v>137</v>
      </c>
      <c r="G82" t="s">
        <v>138</v>
      </c>
      <c r="R82" s="4" t="s">
        <v>265</v>
      </c>
      <c r="S82" s="4" t="s">
        <v>235</v>
      </c>
      <c r="T82" s="4" t="s">
        <v>263</v>
      </c>
    </row>
    <row r="83" spans="1:20" x14ac:dyDescent="0.2">
      <c r="A83">
        <v>81</v>
      </c>
      <c r="B83">
        <v>38.234320962801498</v>
      </c>
      <c r="C83">
        <f>-28.2905470300465</f>
        <v>-28.290547030046501</v>
      </c>
      <c r="D83" s="1">
        <v>42565</v>
      </c>
      <c r="E83" s="2">
        <v>0.70892361111111113</v>
      </c>
      <c r="F83" t="s">
        <v>139</v>
      </c>
      <c r="G83" t="s">
        <v>10</v>
      </c>
      <c r="R83" s="4" t="s">
        <v>265</v>
      </c>
      <c r="S83" s="4" t="s">
        <v>235</v>
      </c>
      <c r="T83" s="4" t="s">
        <v>263</v>
      </c>
    </row>
    <row r="84" spans="1:20" x14ac:dyDescent="0.2">
      <c r="A84">
        <v>82</v>
      </c>
      <c r="B84">
        <v>38.233587965369203</v>
      </c>
      <c r="C84">
        <f>-28.2899779826402</f>
        <v>-28.289977982640199</v>
      </c>
      <c r="D84" s="1">
        <v>42565</v>
      </c>
      <c r="E84" s="2">
        <v>0.71084490740740736</v>
      </c>
      <c r="F84" t="s">
        <v>140</v>
      </c>
      <c r="G84" t="s">
        <v>141</v>
      </c>
      <c r="R84" s="4" t="s">
        <v>240</v>
      </c>
      <c r="S84" s="4" t="s">
        <v>235</v>
      </c>
      <c r="T84" s="4" t="s">
        <v>263</v>
      </c>
    </row>
    <row r="85" spans="1:20" x14ac:dyDescent="0.2">
      <c r="A85">
        <v>83</v>
      </c>
      <c r="B85">
        <v>38.379631983116198</v>
      </c>
      <c r="C85">
        <f>-28.1353239901363</f>
        <v>-28.1353239901363</v>
      </c>
      <c r="D85" s="1">
        <v>42569</v>
      </c>
      <c r="E85" s="2">
        <v>0.5433796296296296</v>
      </c>
      <c r="F85" t="s">
        <v>142</v>
      </c>
      <c r="G85" t="s">
        <v>143</v>
      </c>
      <c r="R85" s="4" t="s">
        <v>240</v>
      </c>
      <c r="S85" s="4" t="s">
        <v>235</v>
      </c>
      <c r="T85" s="4" t="s">
        <v>263</v>
      </c>
    </row>
    <row r="86" spans="1:20" x14ac:dyDescent="0.2">
      <c r="A86">
        <v>84</v>
      </c>
      <c r="B86">
        <v>38.3781560137867</v>
      </c>
      <c r="C86">
        <f>-28.1474700383841</f>
        <v>-28.1474700383841</v>
      </c>
      <c r="D86" s="1">
        <v>42569</v>
      </c>
      <c r="E86" s="2">
        <v>0.66346064814814809</v>
      </c>
      <c r="F86" t="s">
        <v>144</v>
      </c>
      <c r="G86" t="s">
        <v>111</v>
      </c>
      <c r="R86" s="4" t="s">
        <v>243</v>
      </c>
      <c r="S86" s="4" t="s">
        <v>235</v>
      </c>
      <c r="T86" s="4" t="s">
        <v>263</v>
      </c>
    </row>
    <row r="87" spans="1:20" x14ac:dyDescent="0.2">
      <c r="A87">
        <v>85</v>
      </c>
      <c r="B87">
        <v>38.328913003206203</v>
      </c>
      <c r="C87">
        <f>-28.055007001385</f>
        <v>-28.055007001385</v>
      </c>
      <c r="D87" s="1">
        <v>42573</v>
      </c>
      <c r="E87" s="2">
        <v>0.65098379629629632</v>
      </c>
      <c r="F87" t="s">
        <v>145</v>
      </c>
      <c r="G87" t="s">
        <v>146</v>
      </c>
      <c r="R87" s="4" t="s">
        <v>249</v>
      </c>
      <c r="S87" s="4" t="s">
        <v>235</v>
      </c>
      <c r="T87" s="4" t="s">
        <v>263</v>
      </c>
    </row>
    <row r="88" spans="1:20" x14ac:dyDescent="0.2">
      <c r="A88">
        <v>86</v>
      </c>
      <c r="B88">
        <v>38.358255028724599</v>
      </c>
      <c r="C88">
        <f>-28.1413420289754</f>
        <v>-28.141342028975401</v>
      </c>
      <c r="D88" s="1">
        <v>42575</v>
      </c>
      <c r="E88" s="2">
        <v>0.43922453703703707</v>
      </c>
      <c r="F88" t="s">
        <v>147</v>
      </c>
      <c r="G88" t="s">
        <v>148</v>
      </c>
      <c r="R88" s="4" t="s">
        <v>250</v>
      </c>
      <c r="S88" s="4" t="s">
        <v>235</v>
      </c>
      <c r="T88" s="4" t="s">
        <v>263</v>
      </c>
    </row>
    <row r="89" spans="1:20" x14ac:dyDescent="0.2">
      <c r="A89">
        <v>87</v>
      </c>
      <c r="B89">
        <v>38.290528999641502</v>
      </c>
      <c r="C89">
        <f>-28.3277620095759</f>
        <v>-28.327762009575899</v>
      </c>
      <c r="D89" s="1">
        <v>42576</v>
      </c>
      <c r="E89" s="2">
        <v>0.63545138888888886</v>
      </c>
      <c r="F89" t="s">
        <v>149</v>
      </c>
      <c r="G89" t="s">
        <v>10</v>
      </c>
      <c r="R89" s="4" t="s">
        <v>250</v>
      </c>
      <c r="S89" s="4" t="s">
        <v>235</v>
      </c>
      <c r="T89" s="4" t="s">
        <v>263</v>
      </c>
    </row>
    <row r="90" spans="1:20" x14ac:dyDescent="0.2">
      <c r="A90">
        <v>88</v>
      </c>
      <c r="B90">
        <v>38.2879600301384</v>
      </c>
      <c r="C90">
        <f>-28.3386409655213</f>
        <v>-28.3386409655213</v>
      </c>
      <c r="D90" s="1">
        <v>42576</v>
      </c>
      <c r="E90" s="2">
        <v>0.64124999999999999</v>
      </c>
      <c r="F90" t="s">
        <v>150</v>
      </c>
      <c r="G90" t="s">
        <v>151</v>
      </c>
      <c r="R90" s="4" t="s">
        <v>244</v>
      </c>
      <c r="S90" s="4" t="s">
        <v>235</v>
      </c>
      <c r="T90" s="4" t="s">
        <v>263</v>
      </c>
    </row>
    <row r="91" spans="1:20" x14ac:dyDescent="0.2">
      <c r="A91">
        <v>89</v>
      </c>
      <c r="B91">
        <v>38.336452022194798</v>
      </c>
      <c r="C91">
        <f>-28.0889650247991</f>
        <v>-28.088965024799101</v>
      </c>
      <c r="D91" s="1">
        <v>42582</v>
      </c>
      <c r="E91" s="2">
        <v>0.43703703703703706</v>
      </c>
      <c r="F91" t="s">
        <v>152</v>
      </c>
      <c r="G91" t="s">
        <v>153</v>
      </c>
      <c r="R91" s="4" t="s">
        <v>266</v>
      </c>
      <c r="S91" s="4" t="s">
        <v>246</v>
      </c>
      <c r="T91" s="4" t="s">
        <v>263</v>
      </c>
    </row>
    <row r="92" spans="1:20" x14ac:dyDescent="0.2">
      <c r="A92">
        <v>90</v>
      </c>
      <c r="B92">
        <v>38.334744041785498</v>
      </c>
      <c r="C92">
        <f>-28.2903180364519</f>
        <v>-28.2903180364519</v>
      </c>
      <c r="D92" s="1">
        <v>42587</v>
      </c>
      <c r="E92" s="2">
        <v>0.4571412037037037</v>
      </c>
      <c r="F92" t="s">
        <v>154</v>
      </c>
      <c r="G92" t="s">
        <v>155</v>
      </c>
      <c r="R92" s="4" t="s">
        <v>266</v>
      </c>
      <c r="S92" s="4" t="s">
        <v>238</v>
      </c>
      <c r="T92" s="4" t="s">
        <v>263</v>
      </c>
    </row>
    <row r="93" spans="1:20" x14ac:dyDescent="0.2">
      <c r="A93">
        <v>91</v>
      </c>
      <c r="B93">
        <v>38.382992958649901</v>
      </c>
      <c r="C93">
        <f>-28.5032120067626</f>
        <v>-28.503212006762599</v>
      </c>
      <c r="D93" s="1">
        <v>42618</v>
      </c>
      <c r="E93" s="2">
        <v>0.77284722222222213</v>
      </c>
      <c r="F93" t="s">
        <v>156</v>
      </c>
      <c r="G93" t="s">
        <v>10</v>
      </c>
      <c r="R93" s="4" t="s">
        <v>266</v>
      </c>
      <c r="S93" s="4" t="s">
        <v>238</v>
      </c>
      <c r="T93" s="4" t="s">
        <v>263</v>
      </c>
    </row>
    <row r="94" spans="1:20" x14ac:dyDescent="0.2">
      <c r="A94">
        <v>92</v>
      </c>
      <c r="B94">
        <v>38.381106024608002</v>
      </c>
      <c r="C94">
        <f>-28.5023599863052</f>
        <v>-28.502359986305201</v>
      </c>
      <c r="D94" s="1">
        <v>42618</v>
      </c>
      <c r="E94" s="2">
        <v>0.77386574074074066</v>
      </c>
      <c r="F94" t="s">
        <v>157</v>
      </c>
      <c r="G94" t="s">
        <v>158</v>
      </c>
      <c r="R94" s="4" t="s">
        <v>262</v>
      </c>
      <c r="S94" s="4" t="s">
        <v>235</v>
      </c>
      <c r="T94" s="4" t="s">
        <v>267</v>
      </c>
    </row>
    <row r="95" spans="1:20" x14ac:dyDescent="0.2">
      <c r="A95">
        <v>93</v>
      </c>
      <c r="B95">
        <v>38.3572010044008</v>
      </c>
      <c r="C95">
        <f>-28.3724529761821</f>
        <v>-28.3724529761821</v>
      </c>
      <c r="D95" s="1">
        <v>42932</v>
      </c>
      <c r="E95" s="2">
        <v>0.40834490740740742</v>
      </c>
      <c r="F95" t="s">
        <v>159</v>
      </c>
      <c r="G95" t="s">
        <v>160</v>
      </c>
      <c r="R95" s="4" t="s">
        <v>243</v>
      </c>
      <c r="S95" s="4" t="s">
        <v>235</v>
      </c>
      <c r="T95" s="4" t="s">
        <v>267</v>
      </c>
    </row>
    <row r="96" spans="1:20" x14ac:dyDescent="0.2">
      <c r="A96">
        <v>94</v>
      </c>
      <c r="B96">
        <v>38.363541997969101</v>
      </c>
      <c r="C96">
        <f>-28.445591032505</f>
        <v>-28.445591032505</v>
      </c>
      <c r="D96" s="1">
        <v>42938</v>
      </c>
      <c r="E96" s="2">
        <v>0.46995370370370365</v>
      </c>
      <c r="F96" t="s">
        <v>161</v>
      </c>
      <c r="G96" t="s">
        <v>162</v>
      </c>
      <c r="R96" s="4" t="s">
        <v>255</v>
      </c>
      <c r="S96" s="4" t="s">
        <v>246</v>
      </c>
      <c r="T96" s="4" t="s">
        <v>267</v>
      </c>
    </row>
    <row r="97" spans="1:20" x14ac:dyDescent="0.2">
      <c r="A97">
        <v>95</v>
      </c>
      <c r="B97">
        <v>38.385120034217799</v>
      </c>
      <c r="C97">
        <f>-28.2878889609128</f>
        <v>-28.287888960912799</v>
      </c>
      <c r="D97" s="1">
        <v>42959</v>
      </c>
      <c r="E97" s="2">
        <v>0.3807638888888889</v>
      </c>
      <c r="F97" t="s">
        <v>163</v>
      </c>
      <c r="G97" t="s">
        <v>164</v>
      </c>
      <c r="R97" s="4" t="s">
        <v>240</v>
      </c>
      <c r="S97" s="4" t="s">
        <v>246</v>
      </c>
      <c r="T97" s="4" t="s">
        <v>267</v>
      </c>
    </row>
    <row r="98" spans="1:20" x14ac:dyDescent="0.2">
      <c r="A98">
        <v>96</v>
      </c>
      <c r="B98">
        <v>38.386848969384999</v>
      </c>
      <c r="C98">
        <f>-28.3811470214277</f>
        <v>-28.381147021427701</v>
      </c>
      <c r="D98" s="1">
        <v>42965</v>
      </c>
      <c r="E98" s="2">
        <v>0.44225694444444441</v>
      </c>
      <c r="F98" t="s">
        <v>165</v>
      </c>
      <c r="G98" t="s">
        <v>166</v>
      </c>
      <c r="R98" s="4" t="s">
        <v>252</v>
      </c>
      <c r="S98" s="4" t="s">
        <v>259</v>
      </c>
      <c r="T98" s="4" t="s">
        <v>268</v>
      </c>
    </row>
    <row r="99" spans="1:20" x14ac:dyDescent="0.2">
      <c r="A99">
        <v>97</v>
      </c>
      <c r="B99">
        <v>38.34242798388</v>
      </c>
      <c r="C99">
        <f>-28.1918760202825</f>
        <v>-28.1918760202825</v>
      </c>
      <c r="D99" s="1">
        <v>43279</v>
      </c>
      <c r="E99" s="2">
        <v>0.63442129629629629</v>
      </c>
      <c r="F99" t="s">
        <v>167</v>
      </c>
      <c r="G99" t="s">
        <v>10</v>
      </c>
      <c r="R99" s="4" t="s">
        <v>252</v>
      </c>
      <c r="S99" s="4" t="s">
        <v>259</v>
      </c>
      <c r="T99" s="4" t="s">
        <v>268</v>
      </c>
    </row>
    <row r="100" spans="1:20" x14ac:dyDescent="0.2">
      <c r="A100">
        <v>98</v>
      </c>
      <c r="B100">
        <v>38.340457985177601</v>
      </c>
      <c r="C100">
        <f>-28.1847010273486</f>
        <v>-28.184701027348599</v>
      </c>
      <c r="D100" s="1">
        <v>43279</v>
      </c>
      <c r="E100" s="2">
        <v>0.63672453703703702</v>
      </c>
      <c r="F100" t="s">
        <v>168</v>
      </c>
      <c r="G100" t="s">
        <v>169</v>
      </c>
      <c r="R100" s="4" t="s">
        <v>237</v>
      </c>
      <c r="S100" s="4" t="s">
        <v>235</v>
      </c>
      <c r="T100" s="4" t="s">
        <v>268</v>
      </c>
    </row>
    <row r="101" spans="1:20" x14ac:dyDescent="0.2">
      <c r="A101">
        <v>99</v>
      </c>
      <c r="B101">
        <v>38.370267972350099</v>
      </c>
      <c r="C101">
        <f>-28.3455400262027</f>
        <v>-28.345540026202698</v>
      </c>
      <c r="D101" s="1">
        <v>43285</v>
      </c>
      <c r="E101" s="2">
        <v>0.65997685185185184</v>
      </c>
      <c r="F101" t="s">
        <v>170</v>
      </c>
      <c r="G101" t="s">
        <v>171</v>
      </c>
      <c r="R101" s="4" t="s">
        <v>237</v>
      </c>
      <c r="S101" s="4" t="s">
        <v>235</v>
      </c>
      <c r="T101" s="4" t="s">
        <v>268</v>
      </c>
    </row>
    <row r="102" spans="1:20" x14ac:dyDescent="0.2">
      <c r="A102">
        <v>100</v>
      </c>
      <c r="B102">
        <v>38.367011016234699</v>
      </c>
      <c r="C102">
        <f>-28.1950069963932</f>
        <v>-28.1950069963932</v>
      </c>
      <c r="D102" s="1">
        <v>43285</v>
      </c>
      <c r="E102" s="2">
        <v>0.37634259259259256</v>
      </c>
      <c r="F102" t="s">
        <v>172</v>
      </c>
      <c r="G102" t="s">
        <v>10</v>
      </c>
      <c r="R102" s="4" t="s">
        <v>237</v>
      </c>
      <c r="S102" s="4" t="s">
        <v>235</v>
      </c>
      <c r="T102" s="4" t="s">
        <v>268</v>
      </c>
    </row>
    <row r="103" spans="1:20" x14ac:dyDescent="0.2">
      <c r="A103">
        <v>101</v>
      </c>
      <c r="B103">
        <v>38.365283003076897</v>
      </c>
      <c r="C103">
        <f>-28.192532993853</f>
        <v>-28.192532993853</v>
      </c>
      <c r="D103" s="1">
        <v>43285</v>
      </c>
      <c r="E103" s="2">
        <v>0.37994212962962964</v>
      </c>
      <c r="F103" t="s">
        <v>173</v>
      </c>
      <c r="G103" t="s">
        <v>174</v>
      </c>
      <c r="R103" s="4" t="s">
        <v>235</v>
      </c>
      <c r="S103" s="4" t="s">
        <v>235</v>
      </c>
      <c r="T103" s="4" t="s">
        <v>268</v>
      </c>
    </row>
    <row r="104" spans="1:20" x14ac:dyDescent="0.2">
      <c r="A104">
        <v>102</v>
      </c>
      <c r="B104">
        <v>38.396023968234601</v>
      </c>
      <c r="C104">
        <f>-28.460473017767</f>
        <v>-28.460473017767001</v>
      </c>
      <c r="D104" s="1">
        <v>43288</v>
      </c>
      <c r="E104" s="2">
        <v>0.45849537037037041</v>
      </c>
      <c r="F104" t="s">
        <v>175</v>
      </c>
      <c r="G104" t="s">
        <v>10</v>
      </c>
      <c r="R104" s="4" t="s">
        <v>235</v>
      </c>
      <c r="S104" s="4" t="s">
        <v>235</v>
      </c>
      <c r="T104" s="4" t="s">
        <v>268</v>
      </c>
    </row>
    <row r="105" spans="1:20" x14ac:dyDescent="0.2">
      <c r="A105">
        <v>103</v>
      </c>
      <c r="B105">
        <v>38.394417995586899</v>
      </c>
      <c r="C105">
        <f>-28.4591530356556</f>
        <v>-28.4591530356556</v>
      </c>
      <c r="D105" s="1">
        <v>43288</v>
      </c>
      <c r="E105" s="2">
        <v>0.45981481481481484</v>
      </c>
      <c r="F105" t="s">
        <v>176</v>
      </c>
      <c r="G105" t="s">
        <v>177</v>
      </c>
      <c r="R105" s="4" t="s">
        <v>264</v>
      </c>
      <c r="S105" s="4" t="s">
        <v>235</v>
      </c>
      <c r="T105" s="4" t="s">
        <v>268</v>
      </c>
    </row>
    <row r="106" spans="1:20" x14ac:dyDescent="0.2">
      <c r="A106">
        <v>104</v>
      </c>
      <c r="B106">
        <v>38.302834974601801</v>
      </c>
      <c r="C106">
        <f>-28.0097950156778</f>
        <v>-28.009795015677799</v>
      </c>
      <c r="D106" s="1">
        <v>43292</v>
      </c>
      <c r="E106" s="2">
        <v>0.47538194444444448</v>
      </c>
      <c r="F106" t="s">
        <v>178</v>
      </c>
      <c r="G106" t="s">
        <v>179</v>
      </c>
      <c r="R106" s="4" t="s">
        <v>264</v>
      </c>
      <c r="S106" s="4" t="s">
        <v>235</v>
      </c>
      <c r="T106" s="4" t="s">
        <v>268</v>
      </c>
    </row>
    <row r="107" spans="1:20" x14ac:dyDescent="0.2">
      <c r="A107">
        <v>105</v>
      </c>
      <c r="B107">
        <v>38.304486963897901</v>
      </c>
      <c r="C107">
        <f>-28.0095940176397</f>
        <v>-28.009594017639699</v>
      </c>
      <c r="D107" s="1">
        <v>43292</v>
      </c>
      <c r="E107" s="2">
        <v>0.4768634259259259</v>
      </c>
      <c r="F107" t="s">
        <v>180</v>
      </c>
      <c r="G107" t="s">
        <v>181</v>
      </c>
      <c r="R107" s="4" t="s">
        <v>262</v>
      </c>
      <c r="S107" s="4" t="s">
        <v>235</v>
      </c>
      <c r="T107" s="4" t="s">
        <v>268</v>
      </c>
    </row>
    <row r="108" spans="1:20" x14ac:dyDescent="0.2">
      <c r="A108">
        <v>106</v>
      </c>
      <c r="B108">
        <v>38.348562028259003</v>
      </c>
      <c r="C108">
        <f>-28.3177209924906</f>
        <v>-28.317720992490599</v>
      </c>
      <c r="D108" s="1">
        <v>43297</v>
      </c>
      <c r="E108" s="2">
        <v>0.60481481481481481</v>
      </c>
      <c r="F108" t="s">
        <v>182</v>
      </c>
      <c r="G108" t="s">
        <v>183</v>
      </c>
      <c r="R108" s="4" t="s">
        <v>248</v>
      </c>
      <c r="S108" s="4" t="s">
        <v>235</v>
      </c>
      <c r="T108" s="4" t="s">
        <v>268</v>
      </c>
    </row>
    <row r="109" spans="1:20" x14ac:dyDescent="0.2">
      <c r="A109">
        <v>107</v>
      </c>
      <c r="B109">
        <v>38.336590994149397</v>
      </c>
      <c r="C109">
        <f>-28.1181860156357</f>
        <v>-28.1181860156357</v>
      </c>
      <c r="D109" s="1">
        <v>43304</v>
      </c>
      <c r="E109" s="2">
        <v>0.45937500000000003</v>
      </c>
      <c r="F109" t="s">
        <v>184</v>
      </c>
      <c r="G109" t="s">
        <v>185</v>
      </c>
      <c r="R109" s="4" t="s">
        <v>249</v>
      </c>
      <c r="S109" s="4" t="s">
        <v>235</v>
      </c>
      <c r="T109" s="4" t="s">
        <v>268</v>
      </c>
    </row>
    <row r="110" spans="1:20" x14ac:dyDescent="0.2">
      <c r="A110">
        <v>108</v>
      </c>
      <c r="B110">
        <v>38.375814026221597</v>
      </c>
      <c r="C110">
        <f>-28.3389129582792</f>
        <v>-28.338912958279199</v>
      </c>
      <c r="D110" s="1">
        <v>43305</v>
      </c>
      <c r="E110" s="2">
        <v>0.47274305555555557</v>
      </c>
      <c r="F110" t="s">
        <v>186</v>
      </c>
      <c r="G110" t="s">
        <v>10</v>
      </c>
      <c r="R110" s="4" t="s">
        <v>249</v>
      </c>
      <c r="S110" s="4" t="s">
        <v>235</v>
      </c>
      <c r="T110" s="4" t="s">
        <v>268</v>
      </c>
    </row>
    <row r="111" spans="1:20" x14ac:dyDescent="0.2">
      <c r="A111">
        <v>109</v>
      </c>
      <c r="B111">
        <v>38.377242973074303</v>
      </c>
      <c r="C111">
        <f>-28.3353320416063</f>
        <v>-28.3353320416063</v>
      </c>
      <c r="D111" s="1">
        <v>43305</v>
      </c>
      <c r="E111" s="2">
        <v>0.47496527777777775</v>
      </c>
      <c r="F111" t="s">
        <v>187</v>
      </c>
      <c r="G111" t="s">
        <v>115</v>
      </c>
      <c r="R111" s="4" t="s">
        <v>244</v>
      </c>
      <c r="S111" s="4" t="s">
        <v>235</v>
      </c>
      <c r="T111" s="4" t="s">
        <v>268</v>
      </c>
    </row>
    <row r="112" spans="1:20" x14ac:dyDescent="0.2">
      <c r="A112">
        <v>110</v>
      </c>
      <c r="B112">
        <v>38.378916000947299</v>
      </c>
      <c r="C112">
        <f>-28.394472990185</f>
        <v>-28.394472990185001</v>
      </c>
      <c r="D112" s="1">
        <v>43312</v>
      </c>
      <c r="E112" s="2">
        <v>0.4836805555555555</v>
      </c>
      <c r="F112" t="s">
        <v>188</v>
      </c>
      <c r="G112" t="s">
        <v>10</v>
      </c>
      <c r="R112" s="4" t="s">
        <v>244</v>
      </c>
      <c r="S112" s="4" t="s">
        <v>235</v>
      </c>
      <c r="T112" s="4" t="s">
        <v>268</v>
      </c>
    </row>
    <row r="113" spans="1:20" x14ac:dyDescent="0.2">
      <c r="A113">
        <v>111</v>
      </c>
      <c r="B113">
        <v>38.374921018257702</v>
      </c>
      <c r="C113">
        <f>-28.3977870270609</f>
        <v>-28.3977870270609</v>
      </c>
      <c r="D113" s="1">
        <v>43312</v>
      </c>
      <c r="E113" s="2">
        <v>0.48483796296296294</v>
      </c>
      <c r="F113" t="s">
        <v>189</v>
      </c>
      <c r="G113" t="s">
        <v>190</v>
      </c>
      <c r="R113" s="4" t="s">
        <v>245</v>
      </c>
      <c r="S113" s="4" t="s">
        <v>246</v>
      </c>
      <c r="T113" s="4" t="s">
        <v>268</v>
      </c>
    </row>
    <row r="114" spans="1:20" x14ac:dyDescent="0.2">
      <c r="A114">
        <v>112</v>
      </c>
      <c r="B114">
        <v>38.380490038543897</v>
      </c>
      <c r="C114">
        <f>-28.4137200191617</f>
        <v>-28.413720019161701</v>
      </c>
      <c r="D114" s="1">
        <v>43313</v>
      </c>
      <c r="E114" s="2">
        <v>0.41212962962962968</v>
      </c>
      <c r="F114" t="s">
        <v>191</v>
      </c>
      <c r="G114" t="s">
        <v>10</v>
      </c>
      <c r="R114" s="4" t="s">
        <v>245</v>
      </c>
      <c r="S114" s="4" t="s">
        <v>246</v>
      </c>
      <c r="T114" s="4" t="s">
        <v>268</v>
      </c>
    </row>
    <row r="115" spans="1:20" x14ac:dyDescent="0.2">
      <c r="A115">
        <v>113</v>
      </c>
      <c r="B115">
        <v>38.377624014392403</v>
      </c>
      <c r="C115">
        <f>-28.4148400090634</f>
        <v>-28.414840009063401</v>
      </c>
      <c r="D115" s="1">
        <v>43313</v>
      </c>
      <c r="E115" s="2">
        <v>0.41373842592592597</v>
      </c>
      <c r="F115" t="s">
        <v>192</v>
      </c>
      <c r="G115" t="s">
        <v>193</v>
      </c>
      <c r="R115" s="4" t="s">
        <v>245</v>
      </c>
      <c r="S115" s="4" t="s">
        <v>246</v>
      </c>
      <c r="T115" s="4" t="s">
        <v>268</v>
      </c>
    </row>
    <row r="116" spans="1:20" x14ac:dyDescent="0.2">
      <c r="A116">
        <v>114</v>
      </c>
      <c r="B116">
        <v>38.368079960346201</v>
      </c>
      <c r="C116">
        <f>-28.3982119895517</f>
        <v>-28.398211989551701</v>
      </c>
      <c r="D116" s="1">
        <v>43313</v>
      </c>
      <c r="E116" s="2">
        <v>0.46211805555555557</v>
      </c>
      <c r="F116" t="s">
        <v>194</v>
      </c>
      <c r="G116" t="s">
        <v>10</v>
      </c>
      <c r="R116" s="4" t="s">
        <v>245</v>
      </c>
      <c r="S116" s="4" t="s">
        <v>246</v>
      </c>
      <c r="T116" s="4" t="s">
        <v>268</v>
      </c>
    </row>
    <row r="117" spans="1:20" x14ac:dyDescent="0.2">
      <c r="A117">
        <v>115</v>
      </c>
      <c r="B117">
        <v>38.369123004376803</v>
      </c>
      <c r="C117">
        <f>-28.3975010365247</f>
        <v>-28.397501036524702</v>
      </c>
      <c r="D117" s="1">
        <v>43313</v>
      </c>
      <c r="E117" s="2">
        <v>0.46278935185185183</v>
      </c>
      <c r="F117" t="s">
        <v>195</v>
      </c>
      <c r="G117" t="s">
        <v>196</v>
      </c>
      <c r="R117" s="4" t="s">
        <v>234</v>
      </c>
      <c r="S117" s="4" t="s">
        <v>246</v>
      </c>
      <c r="T117" s="4" t="s">
        <v>268</v>
      </c>
    </row>
    <row r="118" spans="1:20" x14ac:dyDescent="0.2">
      <c r="A118">
        <v>116</v>
      </c>
      <c r="B118">
        <v>38.346789004281099</v>
      </c>
      <c r="C118">
        <f>-28.1486549880355</f>
        <v>-28.148654988035499</v>
      </c>
      <c r="D118" s="1">
        <v>43314</v>
      </c>
      <c r="E118" s="2">
        <v>0.42200231481481482</v>
      </c>
      <c r="F118" t="s">
        <v>197</v>
      </c>
      <c r="G118" t="s">
        <v>10</v>
      </c>
      <c r="R118" s="4" t="s">
        <v>234</v>
      </c>
      <c r="S118" s="4" t="s">
        <v>246</v>
      </c>
      <c r="T118" s="4" t="s">
        <v>268</v>
      </c>
    </row>
    <row r="119" spans="1:20" x14ac:dyDescent="0.2">
      <c r="A119">
        <v>117</v>
      </c>
      <c r="B119">
        <v>38.344359006732702</v>
      </c>
      <c r="C119">
        <f>-28.1483929697424</f>
        <v>-28.1483929697424</v>
      </c>
      <c r="D119" s="1">
        <v>43314</v>
      </c>
      <c r="E119" s="2">
        <v>0.42410879629629633</v>
      </c>
      <c r="F119" t="s">
        <v>198</v>
      </c>
      <c r="G119" t="s">
        <v>199</v>
      </c>
      <c r="R119" s="4" t="s">
        <v>234</v>
      </c>
      <c r="S119" s="4" t="s">
        <v>246</v>
      </c>
      <c r="T119" s="4" t="s">
        <v>268</v>
      </c>
    </row>
    <row r="120" spans="1:20" x14ac:dyDescent="0.2">
      <c r="A120">
        <v>118</v>
      </c>
      <c r="B120">
        <v>38.342767031863303</v>
      </c>
      <c r="C120">
        <f>-28.1409419607371</f>
        <v>-28.140941960737099</v>
      </c>
      <c r="D120" s="1">
        <v>43314</v>
      </c>
      <c r="E120" s="2">
        <v>0.4274074074074074</v>
      </c>
      <c r="F120" t="s">
        <v>200</v>
      </c>
      <c r="G120" t="s">
        <v>10</v>
      </c>
      <c r="R120" s="4" t="s">
        <v>234</v>
      </c>
      <c r="S120" s="4" t="s">
        <v>246</v>
      </c>
      <c r="T120" s="4" t="s">
        <v>268</v>
      </c>
    </row>
    <row r="121" spans="1:20" x14ac:dyDescent="0.2">
      <c r="A121">
        <v>119</v>
      </c>
      <c r="B121">
        <v>38.329796036705297</v>
      </c>
      <c r="C121">
        <f>-28.1146409735083</f>
        <v>-28.114640973508301</v>
      </c>
      <c r="D121" s="1">
        <v>43314</v>
      </c>
      <c r="E121" s="2">
        <v>0.44548611111111108</v>
      </c>
      <c r="F121" t="s">
        <v>201</v>
      </c>
      <c r="G121" t="s">
        <v>202</v>
      </c>
      <c r="R121" s="4" t="s">
        <v>234</v>
      </c>
      <c r="S121" s="4" t="s">
        <v>246</v>
      </c>
      <c r="T121" s="4" t="s">
        <v>268</v>
      </c>
    </row>
    <row r="122" spans="1:20" x14ac:dyDescent="0.2">
      <c r="A122">
        <v>120</v>
      </c>
      <c r="B122">
        <v>38.353732991963597</v>
      </c>
      <c r="C122">
        <f>-28.3560080174356</f>
        <v>-28.356008017435599</v>
      </c>
      <c r="D122" s="1">
        <v>43314</v>
      </c>
      <c r="E122" s="2">
        <v>0.61045138888888884</v>
      </c>
      <c r="F122" t="s">
        <v>203</v>
      </c>
      <c r="G122" t="s">
        <v>204</v>
      </c>
      <c r="R122" s="4" t="s">
        <v>237</v>
      </c>
      <c r="S122" s="4" t="s">
        <v>246</v>
      </c>
      <c r="T122" s="4" t="s">
        <v>268</v>
      </c>
    </row>
    <row r="123" spans="1:20" x14ac:dyDescent="0.2">
      <c r="A123">
        <v>121</v>
      </c>
      <c r="B123">
        <v>38.265280025079797</v>
      </c>
      <c r="C123">
        <f>-28.3637989964336</f>
        <v>-28.363798996433601</v>
      </c>
      <c r="D123" s="1">
        <v>43316</v>
      </c>
      <c r="E123" s="2">
        <v>0.79912037037037031</v>
      </c>
      <c r="F123" t="s">
        <v>205</v>
      </c>
      <c r="G123" t="s">
        <v>10</v>
      </c>
      <c r="R123" s="4" t="s">
        <v>237</v>
      </c>
      <c r="S123" s="4" t="s">
        <v>246</v>
      </c>
      <c r="T123" s="4" t="s">
        <v>268</v>
      </c>
    </row>
    <row r="124" spans="1:20" x14ac:dyDescent="0.2">
      <c r="A124">
        <v>122</v>
      </c>
      <c r="B124">
        <v>38.267160002142099</v>
      </c>
      <c r="C124">
        <f>-28.365325005725</f>
        <v>-28.365325005725001</v>
      </c>
      <c r="D124" s="1">
        <v>43316</v>
      </c>
      <c r="E124" s="2">
        <v>0.79996527777777782</v>
      </c>
      <c r="F124" t="s">
        <v>206</v>
      </c>
      <c r="G124" t="s">
        <v>207</v>
      </c>
      <c r="R124" s="4" t="s">
        <v>235</v>
      </c>
      <c r="S124" s="4" t="s">
        <v>246</v>
      </c>
      <c r="T124" s="4" t="s">
        <v>268</v>
      </c>
    </row>
    <row r="125" spans="1:20" x14ac:dyDescent="0.2">
      <c r="A125">
        <v>123</v>
      </c>
      <c r="B125">
        <v>38.335094992071298</v>
      </c>
      <c r="C125">
        <f>-28.0708659812808</f>
        <v>-28.0708659812808</v>
      </c>
      <c r="D125" s="1">
        <v>43319</v>
      </c>
      <c r="E125" s="2">
        <v>0.47076388888888893</v>
      </c>
      <c r="F125" t="s">
        <v>208</v>
      </c>
      <c r="G125" t="s">
        <v>209</v>
      </c>
      <c r="R125" s="4" t="s">
        <v>235</v>
      </c>
      <c r="S125" s="4" t="s">
        <v>246</v>
      </c>
      <c r="T125" s="4" t="s">
        <v>268</v>
      </c>
    </row>
    <row r="126" spans="1:20" x14ac:dyDescent="0.2">
      <c r="A126">
        <v>124</v>
      </c>
      <c r="B126">
        <v>38.282354967668603</v>
      </c>
      <c r="C126">
        <f>-28.2923410087823</f>
        <v>-28.292341008782302</v>
      </c>
      <c r="D126" s="1">
        <v>43319</v>
      </c>
      <c r="E126" s="2">
        <v>0.68166666666666664</v>
      </c>
      <c r="F126" t="s">
        <v>210</v>
      </c>
      <c r="G126" t="s">
        <v>10</v>
      </c>
      <c r="R126" s="4" t="s">
        <v>235</v>
      </c>
      <c r="S126" s="4" t="s">
        <v>246</v>
      </c>
      <c r="T126" s="4" t="s">
        <v>268</v>
      </c>
    </row>
    <row r="127" spans="1:20" x14ac:dyDescent="0.2">
      <c r="A127">
        <v>125</v>
      </c>
      <c r="B127">
        <v>38.286036970093797</v>
      </c>
      <c r="C127">
        <f>-28.2918499968945</f>
        <v>-28.291849996894499</v>
      </c>
      <c r="D127" s="1">
        <v>43319</v>
      </c>
      <c r="E127" s="2">
        <v>0.68474537037037031</v>
      </c>
      <c r="F127" t="s">
        <v>211</v>
      </c>
      <c r="G127" t="s">
        <v>212</v>
      </c>
      <c r="R127" s="4" t="s">
        <v>246</v>
      </c>
      <c r="S127" s="4" t="s">
        <v>246</v>
      </c>
      <c r="T127" s="4" t="s">
        <v>268</v>
      </c>
    </row>
    <row r="128" spans="1:20" x14ac:dyDescent="0.2">
      <c r="A128">
        <v>126</v>
      </c>
      <c r="B128">
        <v>38.3382080309093</v>
      </c>
      <c r="C128">
        <f>-28.4355820342898</f>
        <v>-28.435582034289801</v>
      </c>
      <c r="D128" s="1">
        <v>43320</v>
      </c>
      <c r="E128" s="2">
        <v>0.45460648148148147</v>
      </c>
      <c r="F128" t="s">
        <v>213</v>
      </c>
      <c r="G128" t="s">
        <v>10</v>
      </c>
      <c r="R128" s="4" t="s">
        <v>246</v>
      </c>
      <c r="S128" s="4" t="s">
        <v>246</v>
      </c>
      <c r="T128" s="4" t="s">
        <v>268</v>
      </c>
    </row>
    <row r="129" spans="1:20" x14ac:dyDescent="0.2">
      <c r="A129">
        <v>127</v>
      </c>
      <c r="B129">
        <v>38.337010005488899</v>
      </c>
      <c r="C129">
        <f>-28.4338680189102</f>
        <v>-28.4338680189102</v>
      </c>
      <c r="D129" s="1">
        <v>43320</v>
      </c>
      <c r="E129" s="2">
        <v>0.45979166666666665</v>
      </c>
      <c r="F129" t="s">
        <v>214</v>
      </c>
      <c r="G129" t="s">
        <v>215</v>
      </c>
      <c r="R129" s="4" t="s">
        <v>258</v>
      </c>
      <c r="S129" s="4" t="s">
        <v>246</v>
      </c>
      <c r="T129" s="4" t="s">
        <v>268</v>
      </c>
    </row>
    <row r="130" spans="1:20" x14ac:dyDescent="0.2">
      <c r="A130">
        <v>128</v>
      </c>
      <c r="B130">
        <v>38.378434963524299</v>
      </c>
      <c r="C130">
        <f>-28.1290600262582</f>
        <v>-28.129060026258198</v>
      </c>
      <c r="D130" s="1">
        <v>43338</v>
      </c>
      <c r="E130" s="2">
        <v>0.64565972222222223</v>
      </c>
      <c r="F130" t="s">
        <v>216</v>
      </c>
      <c r="G130" t="s">
        <v>10</v>
      </c>
      <c r="R130" s="4" t="s">
        <v>258</v>
      </c>
      <c r="S130" s="4" t="s">
        <v>246</v>
      </c>
      <c r="T130" s="4" t="s">
        <v>268</v>
      </c>
    </row>
    <row r="131" spans="1:20" x14ac:dyDescent="0.2">
      <c r="A131">
        <v>129</v>
      </c>
      <c r="B131">
        <v>38.378739980980697</v>
      </c>
      <c r="C131">
        <f>-28.1329939886927</f>
        <v>-28.1329939886927</v>
      </c>
      <c r="D131" s="1">
        <v>43338</v>
      </c>
      <c r="E131" s="2">
        <v>0.65234953703703702</v>
      </c>
      <c r="F131" t="s">
        <v>217</v>
      </c>
      <c r="G131" t="s">
        <v>218</v>
      </c>
      <c r="R131" s="4" t="s">
        <v>251</v>
      </c>
      <c r="S131" s="4" t="s">
        <v>246</v>
      </c>
      <c r="T131" s="4" t="s">
        <v>268</v>
      </c>
    </row>
    <row r="132" spans="1:20" x14ac:dyDescent="0.2">
      <c r="A132">
        <v>130</v>
      </c>
      <c r="B132">
        <v>38.368775993585501</v>
      </c>
      <c r="C132">
        <f>-28.5308769810944</f>
        <v>-28.530876981094401</v>
      </c>
      <c r="D132" s="1">
        <v>43339</v>
      </c>
      <c r="E132" s="2">
        <v>0.45425925925925931</v>
      </c>
      <c r="F132" t="s">
        <v>219</v>
      </c>
      <c r="G132" t="s">
        <v>10</v>
      </c>
      <c r="R132" s="4" t="s">
        <v>251</v>
      </c>
      <c r="S132" s="4" t="s">
        <v>246</v>
      </c>
      <c r="T132" s="4" t="s">
        <v>268</v>
      </c>
    </row>
    <row r="133" spans="1:20" x14ac:dyDescent="0.2">
      <c r="A133">
        <v>131</v>
      </c>
      <c r="B133">
        <v>38.367999996989901</v>
      </c>
      <c r="C133">
        <f>-28.5433200001716</f>
        <v>-28.543320000171601</v>
      </c>
      <c r="D133" s="1">
        <v>43339</v>
      </c>
      <c r="E133" s="2">
        <v>0.46083333333333337</v>
      </c>
      <c r="F133" t="s">
        <v>220</v>
      </c>
      <c r="G133" t="s">
        <v>221</v>
      </c>
      <c r="R133" s="4" t="s">
        <v>251</v>
      </c>
      <c r="S133" s="4" t="s">
        <v>246</v>
      </c>
      <c r="T133" s="4" t="s">
        <v>268</v>
      </c>
    </row>
    <row r="134" spans="1:20" x14ac:dyDescent="0.2">
      <c r="A134">
        <v>132</v>
      </c>
      <c r="B134">
        <v>38.380360035225699</v>
      </c>
      <c r="C134">
        <f>-28.4443200007081</f>
        <v>-28.4443200007081</v>
      </c>
      <c r="D134" s="1">
        <v>43339</v>
      </c>
      <c r="E134" s="2">
        <v>0.47738425925925926</v>
      </c>
      <c r="F134" t="s">
        <v>222</v>
      </c>
      <c r="G134" t="s">
        <v>10</v>
      </c>
      <c r="R134" s="4" t="s">
        <v>251</v>
      </c>
      <c r="S134" s="4" t="s">
        <v>246</v>
      </c>
      <c r="T134" s="4" t="s">
        <v>268</v>
      </c>
    </row>
    <row r="135" spans="1:20" x14ac:dyDescent="0.2">
      <c r="A135">
        <v>133</v>
      </c>
      <c r="B135">
        <v>38.381425039842703</v>
      </c>
      <c r="C135">
        <f>-28.4379370138049</f>
        <v>-28.437937013804898</v>
      </c>
      <c r="D135" s="1">
        <v>43339</v>
      </c>
      <c r="E135" s="2">
        <v>0.47988425925925932</v>
      </c>
      <c r="F135" t="s">
        <v>223</v>
      </c>
      <c r="G135" t="s">
        <v>224</v>
      </c>
      <c r="R135" s="4" t="s">
        <v>269</v>
      </c>
      <c r="S135" s="4" t="s">
        <v>238</v>
      </c>
      <c r="T135" s="4" t="s">
        <v>268</v>
      </c>
    </row>
    <row r="136" spans="1:20" x14ac:dyDescent="0.2">
      <c r="A136">
        <v>134</v>
      </c>
      <c r="B136">
        <v>38.345841011032398</v>
      </c>
      <c r="C136">
        <f>-28.1740099936723</f>
        <v>-28.1740099936723</v>
      </c>
      <c r="D136" s="1">
        <v>43356</v>
      </c>
      <c r="E136" s="2">
        <v>0.38233796296296302</v>
      </c>
      <c r="F136" t="s">
        <v>225</v>
      </c>
      <c r="G136" t="s">
        <v>10</v>
      </c>
      <c r="R136" s="4" t="s">
        <v>269</v>
      </c>
      <c r="S136" s="4" t="s">
        <v>238</v>
      </c>
      <c r="T136" s="4" t="s">
        <v>268</v>
      </c>
    </row>
    <row r="137" spans="1:20" x14ac:dyDescent="0.2">
      <c r="A137">
        <v>135</v>
      </c>
      <c r="B137">
        <v>38.345128968357997</v>
      </c>
      <c r="C137">
        <f>-28.1733889784663</f>
        <v>-28.173388978466299</v>
      </c>
      <c r="D137" s="1">
        <v>43356</v>
      </c>
      <c r="E137" s="2">
        <v>0.38370370370370371</v>
      </c>
      <c r="F137" t="s">
        <v>226</v>
      </c>
      <c r="G137" t="s">
        <v>227</v>
      </c>
      <c r="R137" s="4" t="s">
        <v>269</v>
      </c>
      <c r="S137" s="4" t="s">
        <v>238</v>
      </c>
      <c r="T137" s="4" t="s">
        <v>268</v>
      </c>
    </row>
    <row r="138" spans="1:20" x14ac:dyDescent="0.2">
      <c r="A138">
        <v>136</v>
      </c>
      <c r="B138">
        <v>38.345358967781003</v>
      </c>
      <c r="C138">
        <f>-28.231099974364</f>
        <v>-28.231099974364</v>
      </c>
      <c r="D138" s="1">
        <v>43356</v>
      </c>
      <c r="E138" s="2">
        <v>0.68237268518518512</v>
      </c>
      <c r="F138" t="s">
        <v>228</v>
      </c>
      <c r="G138" t="s">
        <v>229</v>
      </c>
      <c r="R138" s="1">
        <v>43356</v>
      </c>
      <c r="T138">
        <f>COUNTIF((T2:T137),"2012")</f>
        <v>36</v>
      </c>
    </row>
    <row r="139" spans="1:20" x14ac:dyDescent="0.2">
      <c r="T139">
        <f>COUNTIF((T2:T137),"2013")</f>
        <v>10</v>
      </c>
    </row>
    <row r="140" spans="1:20" x14ac:dyDescent="0.2">
      <c r="T140">
        <f>COUNTIF((T2:T137),"2014")</f>
        <v>9</v>
      </c>
    </row>
    <row r="141" spans="1:20" x14ac:dyDescent="0.2">
      <c r="T141">
        <f>COUNTIF((T2:T137),"2015")</f>
        <v>13</v>
      </c>
    </row>
    <row r="142" spans="1:20" x14ac:dyDescent="0.2">
      <c r="T142">
        <f>COUNTIF((T2:T137),"2016")</f>
        <v>24</v>
      </c>
    </row>
    <row r="143" spans="1:20" x14ac:dyDescent="0.2">
      <c r="T143">
        <f>COUNTIF((T2:T137),"2017")</f>
        <v>4</v>
      </c>
    </row>
    <row r="144" spans="1:20" x14ac:dyDescent="0.2">
      <c r="T144">
        <f>COUNTIF((T2:T137),"2018")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2D18-DF5A-2746-9DB1-0395DE750BC6}">
  <dimension ref="A1:AW93"/>
  <sheetViews>
    <sheetView zoomScale="75" zoomScaleNormal="121" workbookViewId="0">
      <pane ySplit="1" topLeftCell="A2" activePane="bottomLeft" state="frozen"/>
      <selection activeCell="J1" sqref="J1"/>
      <selection pane="bottomLeft" activeCell="AZ86" sqref="AZ86"/>
    </sheetView>
  </sheetViews>
  <sheetFormatPr baseColWidth="10" defaultRowHeight="16" x14ac:dyDescent="0.2"/>
  <cols>
    <col min="8" max="8" width="16.83203125" bestFit="1" customWidth="1"/>
    <col min="9" max="10" width="18.6640625" bestFit="1" customWidth="1"/>
    <col min="11" max="11" width="4.83203125" bestFit="1" customWidth="1"/>
    <col min="12" max="12" width="3.33203125" bestFit="1" customWidth="1"/>
    <col min="13" max="13" width="3.1640625" bestFit="1" customWidth="1"/>
    <col min="14" max="14" width="4.33203125" bestFit="1" customWidth="1"/>
    <col min="15" max="15" width="4.6640625" bestFit="1" customWidth="1"/>
    <col min="16" max="16" width="4.5" bestFit="1" customWidth="1"/>
    <col min="17" max="18" width="4.83203125" bestFit="1" customWidth="1"/>
    <col min="19" max="19" width="5.33203125" bestFit="1" customWidth="1"/>
    <col min="20" max="20" width="4.33203125" bestFit="1" customWidth="1"/>
    <col min="21" max="22" width="4.6640625" bestFit="1" customWidth="1"/>
    <col min="23" max="23" width="5.6640625" bestFit="1" customWidth="1"/>
    <col min="24" max="24" width="4.6640625" bestFit="1" customWidth="1"/>
    <col min="25" max="25" width="4.83203125" bestFit="1" customWidth="1"/>
    <col min="26" max="26" width="6.6640625" bestFit="1" customWidth="1"/>
    <col min="27" max="27" width="5.6640625" bestFit="1" customWidth="1"/>
    <col min="28" max="28" width="6" bestFit="1" customWidth="1"/>
    <col min="29" max="31" width="4.6640625" bestFit="1" customWidth="1"/>
    <col min="32" max="33" width="7.5" bestFit="1" customWidth="1"/>
    <col min="34" max="34" width="6.33203125" bestFit="1" customWidth="1"/>
    <col min="35" max="35" width="5.83203125" bestFit="1" customWidth="1"/>
    <col min="36" max="37" width="4.6640625" bestFit="1" customWidth="1"/>
    <col min="38" max="38" width="6.33203125" bestFit="1" customWidth="1"/>
    <col min="39" max="41" width="5.83203125" bestFit="1" customWidth="1"/>
    <col min="42" max="44" width="4.6640625" bestFit="1" customWidth="1"/>
    <col min="45" max="45" width="4.83203125" bestFit="1" customWidth="1"/>
    <col min="46" max="46" width="4.6640625" bestFit="1" customWidth="1"/>
    <col min="47" max="49" width="11" bestFit="1" customWidth="1"/>
  </cols>
  <sheetData>
    <row r="1" spans="1:49" ht="18" x14ac:dyDescent="0.2">
      <c r="A1" s="13" t="s">
        <v>230</v>
      </c>
      <c r="B1" s="5" t="s">
        <v>0</v>
      </c>
      <c r="C1" s="5" t="s">
        <v>1</v>
      </c>
      <c r="D1" s="5" t="s">
        <v>231</v>
      </c>
      <c r="E1" s="5" t="s">
        <v>273</v>
      </c>
      <c r="F1" s="5" t="s">
        <v>274</v>
      </c>
      <c r="G1" s="5" t="s">
        <v>275</v>
      </c>
      <c r="H1" s="5" t="s">
        <v>2</v>
      </c>
      <c r="I1" s="5" t="s">
        <v>233</v>
      </c>
      <c r="J1" s="5"/>
      <c r="K1" s="14" t="s">
        <v>280</v>
      </c>
      <c r="L1" s="15" t="s">
        <v>14</v>
      </c>
      <c r="M1" s="15" t="s">
        <v>281</v>
      </c>
      <c r="N1" s="15" t="s">
        <v>282</v>
      </c>
      <c r="O1" s="15" t="s">
        <v>283</v>
      </c>
      <c r="P1" s="15" t="s">
        <v>284</v>
      </c>
      <c r="Q1" s="15" t="s">
        <v>285</v>
      </c>
      <c r="R1" s="15" t="s">
        <v>286</v>
      </c>
      <c r="S1" s="15" t="s">
        <v>287</v>
      </c>
      <c r="T1" s="15" t="s">
        <v>288</v>
      </c>
      <c r="U1" s="15" t="s">
        <v>289</v>
      </c>
      <c r="V1" s="15" t="s">
        <v>290</v>
      </c>
      <c r="W1" s="15" t="s">
        <v>291</v>
      </c>
      <c r="X1" s="15" t="s">
        <v>292</v>
      </c>
      <c r="Y1" s="15" t="s">
        <v>293</v>
      </c>
      <c r="Z1" s="15" t="s">
        <v>294</v>
      </c>
      <c r="AA1" s="15" t="s">
        <v>295</v>
      </c>
      <c r="AB1" s="15" t="s">
        <v>296</v>
      </c>
      <c r="AC1" s="15" t="s">
        <v>297</v>
      </c>
      <c r="AD1" s="15" t="s">
        <v>298</v>
      </c>
      <c r="AE1" s="15" t="s">
        <v>299</v>
      </c>
      <c r="AF1" s="15" t="s">
        <v>300</v>
      </c>
      <c r="AG1" s="15" t="s">
        <v>295</v>
      </c>
      <c r="AH1" s="15" t="s">
        <v>301</v>
      </c>
      <c r="AI1" s="16" t="s">
        <v>302</v>
      </c>
      <c r="AJ1" s="15" t="s">
        <v>303</v>
      </c>
      <c r="AK1" s="15" t="s">
        <v>304</v>
      </c>
      <c r="AL1" s="15">
        <v>0</v>
      </c>
      <c r="AM1" s="15">
        <v>1</v>
      </c>
      <c r="AN1" s="15">
        <v>2</v>
      </c>
      <c r="AO1" s="15">
        <v>3</v>
      </c>
      <c r="AP1" s="15">
        <v>4</v>
      </c>
      <c r="AQ1" s="15">
        <v>5</v>
      </c>
      <c r="AR1" s="15" t="s">
        <v>295</v>
      </c>
      <c r="AS1" s="15" t="s">
        <v>305</v>
      </c>
      <c r="AT1" s="15" t="s">
        <v>306</v>
      </c>
      <c r="AU1" s="15" t="s">
        <v>307</v>
      </c>
      <c r="AV1" s="15" t="s">
        <v>308</v>
      </c>
      <c r="AW1" s="6"/>
    </row>
    <row r="2" spans="1:49" x14ac:dyDescent="0.2">
      <c r="A2" s="17">
        <v>1</v>
      </c>
      <c r="B2" s="10">
        <v>38.388441028073402</v>
      </c>
      <c r="C2" s="10">
        <f>-28.336932985112</f>
        <v>-28.336932985112</v>
      </c>
      <c r="D2" s="11">
        <v>41092</v>
      </c>
      <c r="E2" s="12">
        <v>0.47469907407407402</v>
      </c>
      <c r="F2" s="12"/>
      <c r="G2" s="12">
        <v>6.9444444444444447E-4</v>
      </c>
      <c r="H2" s="10" t="s">
        <v>3</v>
      </c>
      <c r="I2" s="10" t="s">
        <v>4</v>
      </c>
      <c r="J2" s="10" t="s">
        <v>4</v>
      </c>
      <c r="K2" s="10"/>
      <c r="L2" s="10"/>
      <c r="M2" s="10"/>
      <c r="N2" s="10"/>
      <c r="O2" s="10"/>
      <c r="P2" s="10">
        <v>1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>
        <v>5</v>
      </c>
      <c r="AC2" s="10">
        <v>5</v>
      </c>
      <c r="AD2" s="10"/>
      <c r="AE2" s="10"/>
      <c r="AF2" s="10"/>
      <c r="AG2" s="10"/>
      <c r="AH2" s="10"/>
      <c r="AI2" s="10">
        <v>1</v>
      </c>
      <c r="AJ2" s="10"/>
      <c r="AK2" s="10"/>
      <c r="AL2" s="10"/>
      <c r="AM2" s="10">
        <v>1</v>
      </c>
      <c r="AN2" s="10"/>
      <c r="AO2" s="10"/>
      <c r="AP2" s="10"/>
      <c r="AQ2" s="10"/>
      <c r="AR2" s="10"/>
      <c r="AS2" s="10"/>
      <c r="AT2" s="10"/>
      <c r="AU2" s="10"/>
      <c r="AV2" s="10" t="s">
        <v>309</v>
      </c>
      <c r="AW2" s="7"/>
    </row>
    <row r="3" spans="1:49" x14ac:dyDescent="0.2">
      <c r="A3" s="17">
        <v>2</v>
      </c>
      <c r="B3" s="10">
        <v>38.374166982248397</v>
      </c>
      <c r="C3" s="10">
        <f>-28.1789920292794</f>
        <v>-28.178992029279399</v>
      </c>
      <c r="D3" s="11">
        <v>41094</v>
      </c>
      <c r="E3" s="12">
        <v>0.44591435185185185</v>
      </c>
      <c r="F3" s="12">
        <v>0.4557060185185185</v>
      </c>
      <c r="G3" s="12">
        <f t="shared" ref="G3:G66" si="0">F3-E3</f>
        <v>9.791666666666643E-3</v>
      </c>
      <c r="H3" s="10" t="s">
        <v>5</v>
      </c>
      <c r="I3" s="10" t="s">
        <v>6</v>
      </c>
      <c r="J3" s="10" t="s">
        <v>8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>
        <v>1</v>
      </c>
      <c r="AB3" s="10">
        <v>6</v>
      </c>
      <c r="AC3" s="10">
        <v>6</v>
      </c>
      <c r="AD3" s="10"/>
      <c r="AE3" s="10"/>
      <c r="AF3" s="10"/>
      <c r="AG3" s="10"/>
      <c r="AH3" s="10"/>
      <c r="AI3" s="10">
        <v>1</v>
      </c>
      <c r="AJ3" s="10"/>
      <c r="AK3" s="10">
        <v>1</v>
      </c>
      <c r="AL3" s="10"/>
      <c r="AM3" s="10"/>
      <c r="AN3" s="10"/>
      <c r="AO3" s="10"/>
      <c r="AP3" s="10"/>
      <c r="AQ3" s="10"/>
      <c r="AR3" s="10">
        <v>1</v>
      </c>
      <c r="AS3" s="10"/>
      <c r="AT3" s="10"/>
      <c r="AU3" s="10"/>
      <c r="AV3" s="10" t="s">
        <v>310</v>
      </c>
      <c r="AW3" s="7"/>
    </row>
    <row r="4" spans="1:49" x14ac:dyDescent="0.2">
      <c r="A4" s="17">
        <v>3</v>
      </c>
      <c r="B4" s="10">
        <v>38.363711982965398</v>
      </c>
      <c r="C4" s="10">
        <f>-28.1739860214293</f>
        <v>-28.1739860214293</v>
      </c>
      <c r="D4" s="11">
        <v>41094</v>
      </c>
      <c r="E4" s="12">
        <v>0.47273148148148153</v>
      </c>
      <c r="F4" s="12">
        <v>0.48396990740740736</v>
      </c>
      <c r="G4" s="12">
        <f t="shared" si="0"/>
        <v>1.1238425925925832E-2</v>
      </c>
      <c r="H4" s="10" t="s">
        <v>9</v>
      </c>
      <c r="I4" s="10" t="s">
        <v>10</v>
      </c>
      <c r="J4" s="10" t="s">
        <v>12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>
        <v>1</v>
      </c>
      <c r="AB4" s="10">
        <v>8</v>
      </c>
      <c r="AC4" s="10">
        <v>8</v>
      </c>
      <c r="AD4" s="10"/>
      <c r="AE4" s="10"/>
      <c r="AF4" s="10"/>
      <c r="AG4" s="10"/>
      <c r="AH4" s="10"/>
      <c r="AI4" s="10"/>
      <c r="AJ4" s="10"/>
      <c r="AK4" s="10">
        <v>1</v>
      </c>
      <c r="AL4" s="10"/>
      <c r="AM4" s="10"/>
      <c r="AN4" s="10"/>
      <c r="AO4" s="10"/>
      <c r="AP4" s="10"/>
      <c r="AQ4" s="10"/>
      <c r="AR4" s="10">
        <v>1</v>
      </c>
      <c r="AS4" s="10"/>
      <c r="AT4" s="10"/>
      <c r="AU4" s="10"/>
      <c r="AV4" s="10" t="s">
        <v>309</v>
      </c>
      <c r="AW4" s="7"/>
    </row>
    <row r="5" spans="1:49" x14ac:dyDescent="0.2">
      <c r="A5" s="17">
        <v>4</v>
      </c>
      <c r="B5" s="10">
        <v>38.339184019714502</v>
      </c>
      <c r="C5" s="10">
        <f>-28.2632399629801</f>
        <v>-28.263239962980101</v>
      </c>
      <c r="D5" s="11">
        <v>41099</v>
      </c>
      <c r="E5" s="12">
        <v>0.52364583333333337</v>
      </c>
      <c r="F5" s="12">
        <v>0.53153935185185186</v>
      </c>
      <c r="G5" s="12">
        <f t="shared" si="0"/>
        <v>7.8935185185184942E-3</v>
      </c>
      <c r="H5" s="10" t="s">
        <v>13</v>
      </c>
      <c r="I5" s="10" t="s">
        <v>14</v>
      </c>
      <c r="J5" s="10" t="s">
        <v>12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>
        <v>1</v>
      </c>
      <c r="AB5" s="10">
        <v>8</v>
      </c>
      <c r="AC5" s="10">
        <v>8</v>
      </c>
      <c r="AD5" s="10"/>
      <c r="AE5" s="10"/>
      <c r="AF5" s="10"/>
      <c r="AG5" s="10"/>
      <c r="AH5" s="10"/>
      <c r="AI5" s="10"/>
      <c r="AJ5" s="10"/>
      <c r="AK5" s="10">
        <v>1</v>
      </c>
      <c r="AL5" s="10"/>
      <c r="AM5" s="10"/>
      <c r="AN5" s="10"/>
      <c r="AO5" s="10"/>
      <c r="AP5" s="10"/>
      <c r="AQ5" s="10"/>
      <c r="AR5" s="10">
        <v>1</v>
      </c>
      <c r="AS5" s="10"/>
      <c r="AT5" s="10"/>
      <c r="AU5" s="10"/>
      <c r="AV5" s="10" t="s">
        <v>309</v>
      </c>
      <c r="AW5" s="7"/>
    </row>
    <row r="6" spans="1:49" x14ac:dyDescent="0.2">
      <c r="A6" s="17">
        <v>5</v>
      </c>
      <c r="B6" s="10">
        <v>38.369204979389899</v>
      </c>
      <c r="C6" s="10">
        <f>-28.1682350300252</f>
        <v>-28.168235030025201</v>
      </c>
      <c r="D6" s="11">
        <v>41100</v>
      </c>
      <c r="E6" s="12">
        <v>0.5003819444444445</v>
      </c>
      <c r="F6" s="12">
        <v>0.51851851851851849</v>
      </c>
      <c r="G6" s="12">
        <f t="shared" si="0"/>
        <v>1.8136574074073986E-2</v>
      </c>
      <c r="H6" s="10" t="s">
        <v>16</v>
      </c>
      <c r="I6" s="10" t="s">
        <v>10</v>
      </c>
      <c r="J6" s="10" t="s">
        <v>18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>
        <v>1</v>
      </c>
      <c r="AB6" s="10">
        <v>10</v>
      </c>
      <c r="AC6" s="10">
        <v>8</v>
      </c>
      <c r="AD6" s="10">
        <v>2</v>
      </c>
      <c r="AE6" s="10"/>
      <c r="AF6" s="10"/>
      <c r="AG6" s="10"/>
      <c r="AH6" s="10"/>
      <c r="AI6" s="10"/>
      <c r="AJ6" s="10"/>
      <c r="AK6" s="10">
        <v>1</v>
      </c>
      <c r="AL6" s="10"/>
      <c r="AM6" s="10"/>
      <c r="AN6" s="10"/>
      <c r="AO6" s="10"/>
      <c r="AP6" s="10"/>
      <c r="AQ6" s="10"/>
      <c r="AR6" s="10">
        <v>1</v>
      </c>
      <c r="AS6" s="10"/>
      <c r="AT6" s="10"/>
      <c r="AU6" s="10"/>
      <c r="AV6" s="10" t="s">
        <v>309</v>
      </c>
      <c r="AW6" s="7"/>
    </row>
    <row r="7" spans="1:49" x14ac:dyDescent="0.2">
      <c r="A7" s="17">
        <v>6</v>
      </c>
      <c r="B7" s="10">
        <v>38.377077011391499</v>
      </c>
      <c r="C7" s="10">
        <f>-28.3225779701024</f>
        <v>-28.322577970102401</v>
      </c>
      <c r="D7" s="11">
        <v>41108</v>
      </c>
      <c r="E7" s="12">
        <v>0.43765046296296295</v>
      </c>
      <c r="F7" s="12">
        <v>0.44171296296296297</v>
      </c>
      <c r="G7" s="12">
        <f t="shared" si="0"/>
        <v>4.0625000000000244E-3</v>
      </c>
      <c r="H7" s="10" t="s">
        <v>19</v>
      </c>
      <c r="I7" s="10" t="s">
        <v>10</v>
      </c>
      <c r="J7" s="10" t="s">
        <v>21</v>
      </c>
      <c r="K7" s="10"/>
      <c r="L7" s="10"/>
      <c r="M7" s="10"/>
      <c r="N7" s="10"/>
      <c r="O7" s="10"/>
      <c r="P7" s="10">
        <v>1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>
        <v>7</v>
      </c>
      <c r="AC7" s="10">
        <v>7</v>
      </c>
      <c r="AD7" s="10"/>
      <c r="AE7" s="10"/>
      <c r="AF7" s="10"/>
      <c r="AG7" s="10"/>
      <c r="AH7" s="10"/>
      <c r="AI7" s="10">
        <v>1</v>
      </c>
      <c r="AJ7" s="10"/>
      <c r="AK7" s="10"/>
      <c r="AL7" s="10"/>
      <c r="AM7" s="10"/>
      <c r="AN7" s="10"/>
      <c r="AO7" s="10"/>
      <c r="AP7" s="10"/>
      <c r="AQ7" s="10"/>
      <c r="AR7" s="10">
        <v>1</v>
      </c>
      <c r="AS7" s="10"/>
      <c r="AT7" s="10"/>
      <c r="AU7" s="10"/>
      <c r="AV7" s="10" t="s">
        <v>309</v>
      </c>
      <c r="AW7" s="7"/>
    </row>
    <row r="8" spans="1:49" x14ac:dyDescent="0.2">
      <c r="A8" s="17">
        <v>7</v>
      </c>
      <c r="B8" s="10">
        <v>38.375315973535102</v>
      </c>
      <c r="C8" s="10">
        <f>-28.1216159742325</f>
        <v>-28.121615974232501</v>
      </c>
      <c r="D8" s="11">
        <v>41109</v>
      </c>
      <c r="E8" s="12">
        <v>0.72748842592592589</v>
      </c>
      <c r="F8" s="12"/>
      <c r="G8" s="12">
        <v>6.9444444444444447E-4</v>
      </c>
      <c r="H8" s="10" t="s">
        <v>22</v>
      </c>
      <c r="I8" s="10" t="s">
        <v>23</v>
      </c>
      <c r="J8" s="10" t="s">
        <v>23</v>
      </c>
      <c r="K8" s="10"/>
      <c r="L8" s="10"/>
      <c r="M8" s="10"/>
      <c r="N8" s="10"/>
      <c r="O8" s="10"/>
      <c r="P8" s="10">
        <v>1</v>
      </c>
      <c r="Q8" s="10"/>
      <c r="R8" s="10"/>
      <c r="S8" s="10"/>
      <c r="T8" s="10"/>
      <c r="U8" s="10"/>
      <c r="V8" s="10"/>
      <c r="W8" s="10"/>
      <c r="X8" s="10"/>
      <c r="Y8" s="10"/>
      <c r="Z8" s="10">
        <v>1</v>
      </c>
      <c r="AA8" s="10"/>
      <c r="AB8" s="10">
        <v>5</v>
      </c>
      <c r="AC8" s="10">
        <v>5</v>
      </c>
      <c r="AD8" s="10"/>
      <c r="AE8" s="10"/>
      <c r="AF8" s="10"/>
      <c r="AG8" s="10"/>
      <c r="AH8" s="10"/>
      <c r="AI8" s="10">
        <v>1</v>
      </c>
      <c r="AJ8" s="10"/>
      <c r="AK8" s="10"/>
      <c r="AL8" s="10"/>
      <c r="AM8" s="10"/>
      <c r="AN8" s="10">
        <v>1</v>
      </c>
      <c r="AO8" s="10"/>
      <c r="AP8" s="10"/>
      <c r="AQ8" s="10"/>
      <c r="AR8" s="10"/>
      <c r="AS8" s="10"/>
      <c r="AT8" s="10"/>
      <c r="AU8" s="10"/>
      <c r="AV8" s="10" t="s">
        <v>309</v>
      </c>
      <c r="AW8" s="7"/>
    </row>
    <row r="9" spans="1:49" x14ac:dyDescent="0.2">
      <c r="A9" s="17">
        <v>8</v>
      </c>
      <c r="B9" s="10">
        <v>38.373291995376299</v>
      </c>
      <c r="C9" s="10">
        <f>-28.1850910373032</f>
        <v>-28.185091037303199</v>
      </c>
      <c r="D9" s="11">
        <v>41111</v>
      </c>
      <c r="E9" s="12">
        <v>0.48534722222222221</v>
      </c>
      <c r="F9" s="12"/>
      <c r="G9" s="12">
        <v>6.9444444444444447E-4</v>
      </c>
      <c r="H9" s="10" t="s">
        <v>24</v>
      </c>
      <c r="I9" s="10" t="s">
        <v>4</v>
      </c>
      <c r="J9" s="10" t="s">
        <v>4</v>
      </c>
      <c r="K9" s="10"/>
      <c r="L9" s="10"/>
      <c r="M9" s="10"/>
      <c r="N9" s="10"/>
      <c r="O9" s="10"/>
      <c r="P9" s="10">
        <v>1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>
        <v>5</v>
      </c>
      <c r="AC9" s="10">
        <v>5</v>
      </c>
      <c r="AD9" s="10"/>
      <c r="AE9" s="10"/>
      <c r="AF9" s="10"/>
      <c r="AG9" s="10"/>
      <c r="AH9" s="10"/>
      <c r="AI9" s="10">
        <v>1</v>
      </c>
      <c r="AJ9" s="10"/>
      <c r="AK9" s="10"/>
      <c r="AL9" s="10"/>
      <c r="AM9" s="10">
        <v>1</v>
      </c>
      <c r="AN9" s="10"/>
      <c r="AO9" s="10"/>
      <c r="AP9" s="10"/>
      <c r="AQ9" s="10"/>
      <c r="AR9" s="10"/>
      <c r="AS9" s="10"/>
      <c r="AT9" s="10"/>
      <c r="AU9" s="10"/>
      <c r="AV9" s="10" t="s">
        <v>309</v>
      </c>
      <c r="AW9" s="7"/>
    </row>
    <row r="10" spans="1:49" x14ac:dyDescent="0.2">
      <c r="A10" s="17">
        <v>9</v>
      </c>
      <c r="B10" s="10">
        <v>38.353771967813302</v>
      </c>
      <c r="C10" s="10">
        <f>-28.2893920037895</f>
        <v>-28.289392003789501</v>
      </c>
      <c r="D10" s="11">
        <v>41112</v>
      </c>
      <c r="E10" s="12">
        <v>0.62349537037037039</v>
      </c>
      <c r="F10" s="12">
        <v>0.63537037037037036</v>
      </c>
      <c r="G10" s="12">
        <f t="shared" si="0"/>
        <v>1.1874999999999969E-2</v>
      </c>
      <c r="H10" s="10" t="s">
        <v>25</v>
      </c>
      <c r="I10" s="10" t="s">
        <v>10</v>
      </c>
      <c r="J10" s="10" t="s">
        <v>27</v>
      </c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>
        <v>6</v>
      </c>
      <c r="AC10" s="10">
        <v>5</v>
      </c>
      <c r="AD10" s="10">
        <v>1</v>
      </c>
      <c r="AE10" s="10"/>
      <c r="AF10" s="10"/>
      <c r="AG10" s="10"/>
      <c r="AH10" s="10"/>
      <c r="AI10" s="10"/>
      <c r="AJ10" s="10">
        <v>1</v>
      </c>
      <c r="AK10" s="10"/>
      <c r="AL10" s="10"/>
      <c r="AM10" s="10">
        <v>1</v>
      </c>
      <c r="AN10" s="10"/>
      <c r="AO10" s="10"/>
      <c r="AP10" s="10"/>
      <c r="AQ10" s="10"/>
      <c r="AR10" s="10"/>
      <c r="AS10" s="10"/>
      <c r="AT10" s="10"/>
      <c r="AU10" s="10"/>
      <c r="AV10" s="10" t="s">
        <v>309</v>
      </c>
      <c r="AW10" s="7"/>
    </row>
    <row r="11" spans="1:49" x14ac:dyDescent="0.2">
      <c r="A11" s="17">
        <v>10</v>
      </c>
      <c r="B11" s="10">
        <v>38.365232963114899</v>
      </c>
      <c r="C11" s="10">
        <f>-28.1506290100514</f>
        <v>-28.1506290100514</v>
      </c>
      <c r="D11" s="11">
        <v>41121</v>
      </c>
      <c r="E11" s="12">
        <v>0.47182870370370367</v>
      </c>
      <c r="F11" s="12">
        <v>0.48221064814814812</v>
      </c>
      <c r="G11" s="12">
        <f t="shared" si="0"/>
        <v>1.0381944444444458E-2</v>
      </c>
      <c r="H11" s="10" t="s">
        <v>28</v>
      </c>
      <c r="I11" s="10" t="s">
        <v>10</v>
      </c>
      <c r="J11" s="10" t="s">
        <v>30</v>
      </c>
      <c r="K11" s="10"/>
      <c r="L11" s="10"/>
      <c r="M11" s="10"/>
      <c r="N11" s="10"/>
      <c r="O11" s="10">
        <v>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>
        <v>6</v>
      </c>
      <c r="AC11" s="10">
        <v>6</v>
      </c>
      <c r="AD11" s="10"/>
      <c r="AE11" s="10"/>
      <c r="AF11" s="10"/>
      <c r="AG11" s="10"/>
      <c r="AH11" s="10"/>
      <c r="AI11" s="10">
        <v>1</v>
      </c>
      <c r="AJ11" s="10"/>
      <c r="AK11" s="10"/>
      <c r="AL11" s="10"/>
      <c r="AM11" s="10"/>
      <c r="AN11" s="10"/>
      <c r="AO11" s="10">
        <v>1</v>
      </c>
      <c r="AP11" s="10"/>
      <c r="AQ11" s="10"/>
      <c r="AR11" s="10"/>
      <c r="AS11" s="10"/>
      <c r="AT11" s="10"/>
      <c r="AU11" s="10"/>
      <c r="AV11" s="10" t="s">
        <v>309</v>
      </c>
      <c r="AW11" s="7"/>
    </row>
    <row r="12" spans="1:49" x14ac:dyDescent="0.2">
      <c r="A12" s="17">
        <v>11</v>
      </c>
      <c r="B12" s="10">
        <v>38.341877963393898</v>
      </c>
      <c r="C12" s="10">
        <f>-28.3042269665747</f>
        <v>-28.304226966574699</v>
      </c>
      <c r="D12" s="11">
        <v>41122</v>
      </c>
      <c r="E12" s="12">
        <v>0.73195601851851855</v>
      </c>
      <c r="F12" s="12">
        <v>0.73603009259259267</v>
      </c>
      <c r="G12" s="12">
        <f t="shared" si="0"/>
        <v>4.0740740740741188E-3</v>
      </c>
      <c r="H12" s="10" t="s">
        <v>31</v>
      </c>
      <c r="I12" s="10" t="s">
        <v>10</v>
      </c>
      <c r="J12" s="10" t="s">
        <v>33</v>
      </c>
      <c r="K12" s="10"/>
      <c r="L12" s="10"/>
      <c r="M12" s="10"/>
      <c r="N12" s="10">
        <v>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>
        <v>8</v>
      </c>
      <c r="AC12" s="10">
        <v>8</v>
      </c>
      <c r="AD12" s="10"/>
      <c r="AE12" s="10"/>
      <c r="AF12" s="10"/>
      <c r="AG12" s="10"/>
      <c r="AH12" s="10"/>
      <c r="AI12" s="10"/>
      <c r="AJ12" s="10">
        <v>1</v>
      </c>
      <c r="AK12" s="10"/>
      <c r="AL12" s="10"/>
      <c r="AM12" s="10"/>
      <c r="AN12" s="10">
        <v>1</v>
      </c>
      <c r="AO12" s="10"/>
      <c r="AP12" s="10"/>
      <c r="AQ12" s="10"/>
      <c r="AR12" s="10"/>
      <c r="AS12" s="10"/>
      <c r="AT12" s="10"/>
      <c r="AU12" s="10"/>
      <c r="AV12" s="10" t="s">
        <v>309</v>
      </c>
      <c r="AW12" s="7"/>
    </row>
    <row r="13" spans="1:49" x14ac:dyDescent="0.2">
      <c r="A13" s="17">
        <v>12</v>
      </c>
      <c r="B13" s="10">
        <v>38.350839978083897</v>
      </c>
      <c r="C13" s="10">
        <f>-28.2454290054738</f>
        <v>-28.245429005473799</v>
      </c>
      <c r="D13" s="11">
        <v>41123</v>
      </c>
      <c r="E13" s="12">
        <v>0.47864583333333338</v>
      </c>
      <c r="F13" s="12">
        <v>0.4810532407407408</v>
      </c>
      <c r="G13" s="12">
        <f t="shared" si="0"/>
        <v>2.4074074074074137E-3</v>
      </c>
      <c r="H13" s="10" t="s">
        <v>34</v>
      </c>
      <c r="I13" s="10" t="s">
        <v>10</v>
      </c>
      <c r="J13" s="10" t="s">
        <v>36</v>
      </c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5</v>
      </c>
      <c r="AC13" s="10">
        <v>5</v>
      </c>
      <c r="AD13" s="10"/>
      <c r="AE13" s="10"/>
      <c r="AF13" s="10"/>
      <c r="AG13" s="10"/>
      <c r="AH13" s="10"/>
      <c r="AI13" s="10"/>
      <c r="AJ13" s="10">
        <v>1</v>
      </c>
      <c r="AK13" s="10"/>
      <c r="AL13" s="10"/>
      <c r="AM13" s="10">
        <v>1</v>
      </c>
      <c r="AN13" s="10"/>
      <c r="AO13" s="10"/>
      <c r="AP13" s="10"/>
      <c r="AQ13" s="10"/>
      <c r="AR13" s="10"/>
      <c r="AS13" s="10"/>
      <c r="AT13" s="10"/>
      <c r="AU13" s="10"/>
      <c r="AV13" s="10" t="s">
        <v>309</v>
      </c>
      <c r="AW13" s="7"/>
    </row>
    <row r="14" spans="1:49" x14ac:dyDescent="0.2">
      <c r="A14" s="17">
        <v>13</v>
      </c>
      <c r="B14" s="10">
        <v>38.336212970316403</v>
      </c>
      <c r="C14" s="10">
        <f>-28.2577939890325</f>
        <v>-28.2577939890325</v>
      </c>
      <c r="D14" s="11">
        <v>41123</v>
      </c>
      <c r="E14" s="12">
        <v>0.68361111111111106</v>
      </c>
      <c r="F14" s="12">
        <v>0.69740740740740748</v>
      </c>
      <c r="G14" s="12">
        <f t="shared" si="0"/>
        <v>1.3796296296296418E-2</v>
      </c>
      <c r="H14" s="10" t="s">
        <v>37</v>
      </c>
      <c r="I14" s="10" t="s">
        <v>10</v>
      </c>
      <c r="J14" s="10" t="s">
        <v>39</v>
      </c>
      <c r="K14" s="10"/>
      <c r="L14" s="10"/>
      <c r="M14" s="10"/>
      <c r="N14" s="10"/>
      <c r="O14" s="10">
        <v>1</v>
      </c>
      <c r="P14" s="10"/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>
        <v>20</v>
      </c>
      <c r="AC14" s="10">
        <v>18</v>
      </c>
      <c r="AD14" s="10"/>
      <c r="AE14" s="10">
        <v>2</v>
      </c>
      <c r="AF14" s="10"/>
      <c r="AG14" s="10"/>
      <c r="AH14" s="10"/>
      <c r="AI14" s="10">
        <v>1</v>
      </c>
      <c r="AJ14" s="10"/>
      <c r="AK14" s="10"/>
      <c r="AL14" s="10"/>
      <c r="AM14" s="10">
        <v>1</v>
      </c>
      <c r="AN14" s="10"/>
      <c r="AO14" s="10"/>
      <c r="AP14" s="10"/>
      <c r="AQ14" s="10"/>
      <c r="AR14" s="10"/>
      <c r="AS14" s="10"/>
      <c r="AT14" s="10"/>
      <c r="AU14" s="10"/>
      <c r="AV14" s="10" t="s">
        <v>309</v>
      </c>
      <c r="AW14" s="7"/>
    </row>
    <row r="15" spans="1:49" x14ac:dyDescent="0.2">
      <c r="A15" s="17">
        <v>14</v>
      </c>
      <c r="B15" s="10">
        <v>38.368782028555799</v>
      </c>
      <c r="C15" s="10">
        <f>-28.0618619732558</f>
        <v>-28.061861973255802</v>
      </c>
      <c r="D15" s="11">
        <v>41138</v>
      </c>
      <c r="E15" s="12">
        <v>0.83082175925925927</v>
      </c>
      <c r="F15" s="12">
        <v>0.83521990740740737</v>
      </c>
      <c r="G15" s="12">
        <f t="shared" si="0"/>
        <v>4.3981481481480955E-3</v>
      </c>
      <c r="H15" s="10" t="s">
        <v>40</v>
      </c>
      <c r="I15" s="10" t="s">
        <v>10</v>
      </c>
      <c r="J15" s="10" t="s">
        <v>42</v>
      </c>
      <c r="K15" s="10"/>
      <c r="L15" s="10"/>
      <c r="M15" s="10"/>
      <c r="N15" s="10"/>
      <c r="O15" s="10"/>
      <c r="P15" s="10">
        <v>1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>
        <v>4</v>
      </c>
      <c r="AC15" s="10">
        <v>4</v>
      </c>
      <c r="AD15" s="10"/>
      <c r="AE15" s="10"/>
      <c r="AF15" s="10"/>
      <c r="AG15" s="10"/>
      <c r="AH15" s="10"/>
      <c r="AI15" s="10">
        <v>1</v>
      </c>
      <c r="AJ15" s="10"/>
      <c r="AK15" s="10"/>
      <c r="AL15" s="10"/>
      <c r="AM15" s="10"/>
      <c r="AN15" s="10"/>
      <c r="AO15" s="10"/>
      <c r="AP15" s="10">
        <v>1</v>
      </c>
      <c r="AQ15" s="10"/>
      <c r="AR15" s="10"/>
      <c r="AS15" s="10"/>
      <c r="AT15" s="10"/>
      <c r="AU15" s="10"/>
      <c r="AV15" s="10" t="s">
        <v>309</v>
      </c>
      <c r="AW15" s="7"/>
    </row>
    <row r="16" spans="1:49" x14ac:dyDescent="0.2">
      <c r="A16" s="17">
        <v>15</v>
      </c>
      <c r="B16" s="10">
        <v>38.342287000268598</v>
      </c>
      <c r="C16" s="10">
        <f>-28.1789640337228</f>
        <v>-28.178964033722799</v>
      </c>
      <c r="D16" s="11">
        <v>41144</v>
      </c>
      <c r="E16" s="12">
        <v>0.42033564814814817</v>
      </c>
      <c r="F16" s="12">
        <v>0.43797453703703698</v>
      </c>
      <c r="G16" s="12">
        <f t="shared" si="0"/>
        <v>1.7638888888888815E-2</v>
      </c>
      <c r="H16" s="10" t="s">
        <v>43</v>
      </c>
      <c r="I16" s="10" t="s">
        <v>10</v>
      </c>
      <c r="J16" s="10" t="s">
        <v>45</v>
      </c>
      <c r="K16" s="10"/>
      <c r="L16" s="10"/>
      <c r="M16" s="10"/>
      <c r="N16" s="10"/>
      <c r="O16" s="10">
        <v>1</v>
      </c>
      <c r="P16" s="10"/>
      <c r="Q16" s="10">
        <v>1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10</v>
      </c>
      <c r="AC16" s="10">
        <v>8</v>
      </c>
      <c r="AD16" s="10">
        <v>2</v>
      </c>
      <c r="AE16" s="10"/>
      <c r="AF16" s="10"/>
      <c r="AG16" s="10"/>
      <c r="AH16" s="10"/>
      <c r="AI16" s="10">
        <v>1</v>
      </c>
      <c r="AJ16" s="10"/>
      <c r="AK16" s="10"/>
      <c r="AL16" s="10"/>
      <c r="AM16" s="10"/>
      <c r="AN16" s="10">
        <v>1</v>
      </c>
      <c r="AO16" s="10"/>
      <c r="AP16" s="10"/>
      <c r="AQ16" s="10"/>
      <c r="AR16" s="10"/>
      <c r="AS16" s="10"/>
      <c r="AT16" s="10"/>
      <c r="AU16" s="10"/>
      <c r="AV16" s="10" t="s">
        <v>309</v>
      </c>
      <c r="AW16" s="7"/>
    </row>
    <row r="17" spans="1:49" x14ac:dyDescent="0.2">
      <c r="A17" s="17">
        <v>16</v>
      </c>
      <c r="B17" s="10">
        <v>38.344129007309597</v>
      </c>
      <c r="C17" s="10">
        <f>-28.1394410133361</f>
        <v>-28.1394410133361</v>
      </c>
      <c r="D17" s="11">
        <v>41145</v>
      </c>
      <c r="E17" s="12">
        <v>0.70840277777777771</v>
      </c>
      <c r="F17" s="12"/>
      <c r="G17" s="12">
        <v>6.9444444444444447E-4</v>
      </c>
      <c r="H17" s="10" t="s">
        <v>46</v>
      </c>
      <c r="I17" s="10" t="s">
        <v>47</v>
      </c>
      <c r="J17" s="10" t="s">
        <v>47</v>
      </c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/>
      <c r="X17" s="10"/>
      <c r="Y17" s="10"/>
      <c r="Z17" s="10">
        <v>1</v>
      </c>
      <c r="AA17" s="10"/>
      <c r="AB17" s="10">
        <v>6</v>
      </c>
      <c r="AC17" s="10">
        <v>6</v>
      </c>
      <c r="AD17" s="10"/>
      <c r="AE17" s="10"/>
      <c r="AF17" s="10"/>
      <c r="AG17" s="10"/>
      <c r="AH17" s="10"/>
      <c r="AI17" s="10">
        <v>1</v>
      </c>
      <c r="AJ17" s="10"/>
      <c r="AK17" s="10"/>
      <c r="AL17" s="10"/>
      <c r="AM17" s="10">
        <v>1</v>
      </c>
      <c r="AN17" s="10"/>
      <c r="AO17" s="10"/>
      <c r="AP17" s="10"/>
      <c r="AQ17" s="10"/>
      <c r="AR17" s="10"/>
      <c r="AS17" s="10"/>
      <c r="AT17" s="10"/>
      <c r="AU17" s="10"/>
      <c r="AV17" s="10" t="s">
        <v>309</v>
      </c>
      <c r="AW17" s="7"/>
    </row>
    <row r="18" spans="1:49" x14ac:dyDescent="0.2">
      <c r="A18" s="17">
        <v>17</v>
      </c>
      <c r="B18" s="10">
        <v>38.377422010525997</v>
      </c>
      <c r="C18" s="10">
        <f>-28.0867760069668</f>
        <v>-28.086776006966801</v>
      </c>
      <c r="D18" s="11">
        <v>41146</v>
      </c>
      <c r="E18" s="12">
        <v>0.46043981481481483</v>
      </c>
      <c r="F18" s="12"/>
      <c r="G18" s="12">
        <v>6.9444444444444447E-4</v>
      </c>
      <c r="H18" s="10" t="s">
        <v>48</v>
      </c>
      <c r="I18" s="10" t="s">
        <v>49</v>
      </c>
      <c r="J18" s="10" t="s">
        <v>49</v>
      </c>
      <c r="K18" s="10"/>
      <c r="L18" s="10"/>
      <c r="M18" s="10"/>
      <c r="N18" s="10"/>
      <c r="O18" s="10"/>
      <c r="P18" s="10">
        <v>1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>
        <v>6</v>
      </c>
      <c r="AC18" s="10">
        <v>6</v>
      </c>
      <c r="AD18" s="10"/>
      <c r="AE18" s="10"/>
      <c r="AF18" s="10"/>
      <c r="AG18" s="10"/>
      <c r="AH18" s="10"/>
      <c r="AI18" s="10">
        <v>1</v>
      </c>
      <c r="AJ18" s="10"/>
      <c r="AK18" s="10"/>
      <c r="AL18" s="10"/>
      <c r="AM18" s="10"/>
      <c r="AN18" s="10">
        <v>1</v>
      </c>
      <c r="AO18" s="10"/>
      <c r="AP18" s="10"/>
      <c r="AQ18" s="10"/>
      <c r="AR18" s="10"/>
      <c r="AS18" s="10"/>
      <c r="AT18" s="10"/>
      <c r="AU18" s="10"/>
      <c r="AV18" s="10" t="s">
        <v>309</v>
      </c>
      <c r="AW18" s="7"/>
    </row>
    <row r="19" spans="1:49" x14ac:dyDescent="0.2">
      <c r="A19" s="17">
        <v>18</v>
      </c>
      <c r="B19" s="10">
        <v>38.317805975675498</v>
      </c>
      <c r="C19" s="10">
        <f>-28.1758769787848</f>
        <v>-28.1758769787848</v>
      </c>
      <c r="D19" s="11">
        <v>41148</v>
      </c>
      <c r="E19" s="12">
        <v>0.45046296296296301</v>
      </c>
      <c r="F19" s="12"/>
      <c r="G19" s="12">
        <v>6.9444444444444447E-4</v>
      </c>
      <c r="H19" s="10" t="s">
        <v>50</v>
      </c>
      <c r="I19" s="10" t="s">
        <v>51</v>
      </c>
      <c r="J19" s="10" t="s">
        <v>51</v>
      </c>
      <c r="K19" s="10"/>
      <c r="L19" s="10"/>
      <c r="M19" s="10"/>
      <c r="N19" s="10"/>
      <c r="O19" s="10"/>
      <c r="P19" s="10">
        <v>1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v>5</v>
      </c>
      <c r="AC19" s="10">
        <v>5</v>
      </c>
      <c r="AD19" s="10"/>
      <c r="AE19" s="10"/>
      <c r="AF19" s="10"/>
      <c r="AG19" s="10"/>
      <c r="AH19" s="10">
        <v>1</v>
      </c>
      <c r="AI19" s="10"/>
      <c r="AJ19" s="10"/>
      <c r="AK19" s="10"/>
      <c r="AL19" s="10"/>
      <c r="AM19" s="10"/>
      <c r="AN19" s="10">
        <v>1</v>
      </c>
      <c r="AO19" s="10"/>
      <c r="AP19" s="10"/>
      <c r="AQ19" s="10"/>
      <c r="AR19" s="10"/>
      <c r="AS19" s="10"/>
      <c r="AT19" s="10"/>
      <c r="AU19" s="10"/>
      <c r="AV19" s="10" t="s">
        <v>309</v>
      </c>
      <c r="AW19" s="7"/>
    </row>
    <row r="20" spans="1:49" x14ac:dyDescent="0.2">
      <c r="A20" s="17">
        <v>19</v>
      </c>
      <c r="B20" s="10">
        <v>38.287851987406597</v>
      </c>
      <c r="C20" s="10">
        <f>-28.1262019649147</f>
        <v>-28.126201964914699</v>
      </c>
      <c r="D20" s="11">
        <v>41148</v>
      </c>
      <c r="E20" s="12">
        <v>0.72361111111111109</v>
      </c>
      <c r="F20" s="12"/>
      <c r="G20" s="12">
        <v>6.9444444444444447E-4</v>
      </c>
      <c r="H20" s="10" t="s">
        <v>52</v>
      </c>
      <c r="I20" s="10" t="s">
        <v>53</v>
      </c>
      <c r="J20" s="10" t="s">
        <v>53</v>
      </c>
      <c r="K20" s="10"/>
      <c r="L20" s="10"/>
      <c r="M20" s="10"/>
      <c r="N20" s="10"/>
      <c r="O20" s="10"/>
      <c r="P20" s="10">
        <v>1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>
        <v>4</v>
      </c>
      <c r="AC20" s="10">
        <v>4</v>
      </c>
      <c r="AD20" s="10"/>
      <c r="AE20" s="10"/>
      <c r="AF20" s="10"/>
      <c r="AG20" s="10"/>
      <c r="AH20" s="10"/>
      <c r="AI20" s="10">
        <v>1</v>
      </c>
      <c r="AJ20" s="10"/>
      <c r="AK20" s="10"/>
      <c r="AL20" s="10"/>
      <c r="AM20" s="10"/>
      <c r="AN20" s="10">
        <v>1</v>
      </c>
      <c r="AO20" s="10"/>
      <c r="AP20" s="10"/>
      <c r="AQ20" s="10"/>
      <c r="AR20" s="10"/>
      <c r="AS20" s="10"/>
      <c r="AT20" s="10"/>
      <c r="AU20" s="10"/>
      <c r="AV20" s="10" t="s">
        <v>309</v>
      </c>
      <c r="AW20" s="7"/>
    </row>
    <row r="21" spans="1:49" x14ac:dyDescent="0.2">
      <c r="A21" s="17">
        <v>20</v>
      </c>
      <c r="B21" s="10">
        <v>38.3759270142763</v>
      </c>
      <c r="C21" s="10">
        <f>-28.2844109740108</f>
        <v>-28.2844109740108</v>
      </c>
      <c r="D21" s="11">
        <v>41149</v>
      </c>
      <c r="E21" s="12">
        <v>0.3943402777777778</v>
      </c>
      <c r="F21" s="12"/>
      <c r="G21" s="12">
        <v>6.9444444444444447E-4</v>
      </c>
      <c r="H21" s="10" t="s">
        <v>54</v>
      </c>
      <c r="I21" s="10" t="s">
        <v>55</v>
      </c>
      <c r="J21" s="10" t="s">
        <v>55</v>
      </c>
      <c r="K21" s="10"/>
      <c r="L21" s="10"/>
      <c r="M21" s="10"/>
      <c r="N21" s="10"/>
      <c r="O21" s="10"/>
      <c r="P21" s="10">
        <v>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>
        <v>4</v>
      </c>
      <c r="AC21" s="10">
        <v>4</v>
      </c>
      <c r="AD21" s="10"/>
      <c r="AE21" s="10"/>
      <c r="AF21" s="10"/>
      <c r="AG21" s="10"/>
      <c r="AH21" s="10"/>
      <c r="AI21" s="10">
        <v>1</v>
      </c>
      <c r="AJ21" s="10"/>
      <c r="AK21" s="10"/>
      <c r="AL21" s="10"/>
      <c r="AM21" s="10">
        <v>1</v>
      </c>
      <c r="AN21" s="10"/>
      <c r="AO21" s="10"/>
      <c r="AP21" s="10"/>
      <c r="AQ21" s="10"/>
      <c r="AR21" s="10"/>
      <c r="AS21" s="10"/>
      <c r="AT21" s="10"/>
      <c r="AU21" s="10"/>
      <c r="AV21" s="10" t="s">
        <v>309</v>
      </c>
      <c r="AW21" s="7"/>
    </row>
    <row r="22" spans="1:49" x14ac:dyDescent="0.2">
      <c r="A22" s="17">
        <v>21</v>
      </c>
      <c r="B22" s="10">
        <v>38.330041961744399</v>
      </c>
      <c r="C22" s="10">
        <f>-28.2938869670033</f>
        <v>-28.293886967003299</v>
      </c>
      <c r="D22" s="11">
        <v>41152</v>
      </c>
      <c r="E22" s="12">
        <v>0.66060185185185183</v>
      </c>
      <c r="F22" s="12"/>
      <c r="G22" s="12">
        <v>6.9444444444444447E-4</v>
      </c>
      <c r="H22" s="10" t="s">
        <v>56</v>
      </c>
      <c r="I22" s="10" t="s">
        <v>57</v>
      </c>
      <c r="J22" s="10" t="s">
        <v>57</v>
      </c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v>3</v>
      </c>
      <c r="AC22" s="10">
        <v>3</v>
      </c>
      <c r="AD22" s="10"/>
      <c r="AE22" s="10"/>
      <c r="AF22" s="10"/>
      <c r="AG22" s="10"/>
      <c r="AH22" s="10"/>
      <c r="AI22" s="10">
        <v>1</v>
      </c>
      <c r="AJ22" s="10"/>
      <c r="AK22" s="10"/>
      <c r="AL22" s="10"/>
      <c r="AM22" s="10"/>
      <c r="AN22" s="10">
        <v>1</v>
      </c>
      <c r="AO22" s="10"/>
      <c r="AP22" s="10"/>
      <c r="AQ22" s="10"/>
      <c r="AR22" s="10"/>
      <c r="AS22" s="10"/>
      <c r="AT22" s="10"/>
      <c r="AU22" s="10"/>
      <c r="AV22" s="10" t="s">
        <v>309</v>
      </c>
      <c r="AW22" s="7"/>
    </row>
    <row r="23" spans="1:49" x14ac:dyDescent="0.2">
      <c r="A23" s="17">
        <v>22</v>
      </c>
      <c r="B23" s="10">
        <v>38.379006022587397</v>
      </c>
      <c r="C23" s="10">
        <f>-28.3185409940779</f>
        <v>-28.3185409940779</v>
      </c>
      <c r="D23" s="11">
        <v>41155</v>
      </c>
      <c r="E23" s="12">
        <v>0.44973379629629634</v>
      </c>
      <c r="F23" s="12"/>
      <c r="G23" s="12">
        <v>6.9444444444444447E-4</v>
      </c>
      <c r="H23" s="10" t="s">
        <v>58</v>
      </c>
      <c r="I23" s="10" t="s">
        <v>59</v>
      </c>
      <c r="J23" s="10" t="s">
        <v>59</v>
      </c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>
        <v>2</v>
      </c>
      <c r="AC23" s="10">
        <v>2</v>
      </c>
      <c r="AD23" s="10"/>
      <c r="AE23" s="10"/>
      <c r="AF23" s="10"/>
      <c r="AG23" s="10"/>
      <c r="AH23" s="10"/>
      <c r="AI23" s="10">
        <v>1</v>
      </c>
      <c r="AJ23" s="10"/>
      <c r="AK23" s="10"/>
      <c r="AL23" s="10"/>
      <c r="AM23" s="10">
        <v>1</v>
      </c>
      <c r="AN23" s="10"/>
      <c r="AO23" s="10"/>
      <c r="AP23" s="10"/>
      <c r="AQ23" s="10"/>
      <c r="AR23" s="10"/>
      <c r="AS23" s="10"/>
      <c r="AT23" s="10"/>
      <c r="AU23" s="10"/>
      <c r="AV23" s="10" t="s">
        <v>309</v>
      </c>
      <c r="AW23" s="7"/>
    </row>
    <row r="24" spans="1:49" x14ac:dyDescent="0.2">
      <c r="A24" s="17">
        <v>23</v>
      </c>
      <c r="B24" s="10">
        <v>38.343157963827203</v>
      </c>
      <c r="C24" s="10">
        <f>-28.2663769740611</f>
        <v>-28.2663769740611</v>
      </c>
      <c r="D24" s="11">
        <v>41159</v>
      </c>
      <c r="E24" s="12">
        <v>0.44578703703703698</v>
      </c>
      <c r="F24" s="12"/>
      <c r="G24" s="12">
        <v>6.9444444444444447E-4</v>
      </c>
      <c r="H24" s="10" t="s">
        <v>60</v>
      </c>
      <c r="I24" s="10" t="s">
        <v>61</v>
      </c>
      <c r="J24" s="10" t="s">
        <v>61</v>
      </c>
      <c r="K24" s="10"/>
      <c r="L24" s="10"/>
      <c r="M24" s="10"/>
      <c r="N24" s="10"/>
      <c r="O24" s="10">
        <v>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v>2</v>
      </c>
      <c r="AC24" s="10">
        <v>2</v>
      </c>
      <c r="AD24" s="10"/>
      <c r="AE24" s="10"/>
      <c r="AF24" s="10"/>
      <c r="AG24" s="10"/>
      <c r="AH24" s="10"/>
      <c r="AI24" s="10">
        <v>1</v>
      </c>
      <c r="AJ24" s="10"/>
      <c r="AK24" s="10"/>
      <c r="AL24" s="10"/>
      <c r="AM24" s="10"/>
      <c r="AN24" s="10">
        <v>1</v>
      </c>
      <c r="AO24" s="10"/>
      <c r="AP24" s="10"/>
      <c r="AQ24" s="10"/>
      <c r="AR24" s="10"/>
      <c r="AS24" s="10"/>
      <c r="AT24" s="10"/>
      <c r="AU24" s="10"/>
      <c r="AV24" s="10" t="s">
        <v>309</v>
      </c>
      <c r="AW24" s="7"/>
    </row>
    <row r="25" spans="1:49" x14ac:dyDescent="0.2">
      <c r="A25" s="17">
        <v>24</v>
      </c>
      <c r="B25" s="10">
        <v>38.376107979565802</v>
      </c>
      <c r="C25" s="10">
        <f>-28.3030970022082</f>
        <v>-28.303097002208201</v>
      </c>
      <c r="D25" s="11">
        <v>41159</v>
      </c>
      <c r="E25" s="12">
        <v>0.46001157407407406</v>
      </c>
      <c r="F25" s="12"/>
      <c r="G25" s="12">
        <v>6.9444444444444447E-4</v>
      </c>
      <c r="H25" s="10" t="s">
        <v>62</v>
      </c>
      <c r="I25" s="10" t="s">
        <v>55</v>
      </c>
      <c r="J25" s="10" t="s">
        <v>55</v>
      </c>
      <c r="K25" s="10"/>
      <c r="L25" s="10"/>
      <c r="M25" s="10"/>
      <c r="N25" s="10"/>
      <c r="O25" s="10"/>
      <c r="P25" s="10">
        <v>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>
        <v>4</v>
      </c>
      <c r="AC25" s="10">
        <v>4</v>
      </c>
      <c r="AD25" s="10"/>
      <c r="AE25" s="10"/>
      <c r="AF25" s="10"/>
      <c r="AG25" s="10"/>
      <c r="AH25" s="10"/>
      <c r="AI25" s="10">
        <v>1</v>
      </c>
      <c r="AJ25" s="10"/>
      <c r="AK25" s="10"/>
      <c r="AL25" s="10"/>
      <c r="AM25" s="10">
        <v>1</v>
      </c>
      <c r="AN25" s="10"/>
      <c r="AO25" s="10"/>
      <c r="AP25" s="10"/>
      <c r="AQ25" s="10"/>
      <c r="AR25" s="10"/>
      <c r="AS25" s="10"/>
      <c r="AT25" s="10"/>
      <c r="AU25" s="10"/>
      <c r="AV25" s="10" t="s">
        <v>309</v>
      </c>
      <c r="AW25" s="7"/>
    </row>
    <row r="26" spans="1:49" x14ac:dyDescent="0.2">
      <c r="A26" s="17">
        <v>25</v>
      </c>
      <c r="B26" s="10">
        <v>38.352438993752003</v>
      </c>
      <c r="C26" s="10">
        <f>-28.1861619930714</f>
        <v>-28.186161993071401</v>
      </c>
      <c r="D26" s="11">
        <v>41459</v>
      </c>
      <c r="E26" s="12">
        <v>0.75121527777777775</v>
      </c>
      <c r="F26" s="12">
        <v>0.75531250000000005</v>
      </c>
      <c r="G26" s="12">
        <f t="shared" si="0"/>
        <v>4.0972222222223076E-3</v>
      </c>
      <c r="H26" s="10" t="s">
        <v>63</v>
      </c>
      <c r="I26" s="10" t="s">
        <v>10</v>
      </c>
      <c r="J26" s="10" t="s">
        <v>65</v>
      </c>
      <c r="K26" s="10"/>
      <c r="L26" s="10"/>
      <c r="M26" s="10"/>
      <c r="N26" s="10"/>
      <c r="O26" s="10">
        <v>1</v>
      </c>
      <c r="P26" s="10"/>
      <c r="Q26" s="10"/>
      <c r="R26" s="10"/>
      <c r="S26" s="10"/>
      <c r="T26" s="10"/>
      <c r="U26" s="10"/>
      <c r="V26" s="10"/>
      <c r="W26" s="10">
        <v>1</v>
      </c>
      <c r="X26" s="10"/>
      <c r="Y26" s="10"/>
      <c r="Z26" s="10"/>
      <c r="AA26" s="10"/>
      <c r="AB26" s="10">
        <v>15</v>
      </c>
      <c r="AC26" s="10">
        <v>10</v>
      </c>
      <c r="AD26" s="10">
        <v>5</v>
      </c>
      <c r="AE26" s="10"/>
      <c r="AF26" s="10"/>
      <c r="AG26" s="10"/>
      <c r="AH26" s="10"/>
      <c r="AI26" s="10"/>
      <c r="AJ26" s="10"/>
      <c r="AK26" s="10">
        <v>1</v>
      </c>
      <c r="AL26" s="10"/>
      <c r="AM26" s="10"/>
      <c r="AN26" s="10"/>
      <c r="AO26" s="10"/>
      <c r="AP26" s="10"/>
      <c r="AQ26" s="10"/>
      <c r="AR26" s="10">
        <v>1</v>
      </c>
      <c r="AS26" s="10"/>
      <c r="AT26" s="10"/>
      <c r="AU26" s="10"/>
      <c r="AV26" s="10" t="s">
        <v>309</v>
      </c>
      <c r="AW26" s="7"/>
    </row>
    <row r="27" spans="1:49" x14ac:dyDescent="0.2">
      <c r="A27" s="17">
        <v>26</v>
      </c>
      <c r="B27" s="10">
        <v>38.341558026149798</v>
      </c>
      <c r="C27" s="10">
        <f>-28.3441099897027</f>
        <v>-28.344109989702702</v>
      </c>
      <c r="D27" s="11">
        <v>41462</v>
      </c>
      <c r="E27" s="12">
        <v>0.46089120370370368</v>
      </c>
      <c r="F27" s="12">
        <v>0.47085648148148151</v>
      </c>
      <c r="G27" s="12">
        <f t="shared" si="0"/>
        <v>9.9652777777778367E-3</v>
      </c>
      <c r="H27" s="10" t="s">
        <v>66</v>
      </c>
      <c r="I27" s="10" t="s">
        <v>10</v>
      </c>
      <c r="J27" s="10" t="s">
        <v>68</v>
      </c>
      <c r="K27" s="10"/>
      <c r="L27" s="10"/>
      <c r="M27" s="10"/>
      <c r="N27" s="10"/>
      <c r="O27" s="10"/>
      <c r="P27" s="10">
        <v>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>
        <v>15</v>
      </c>
      <c r="AC27" s="10">
        <v>10</v>
      </c>
      <c r="AD27" s="10">
        <v>5</v>
      </c>
      <c r="AE27" s="10"/>
      <c r="AF27" s="10"/>
      <c r="AG27" s="10"/>
      <c r="AH27" s="10"/>
      <c r="AI27" s="10"/>
      <c r="AJ27" s="10"/>
      <c r="AK27" s="10">
        <v>1</v>
      </c>
      <c r="AL27" s="10"/>
      <c r="AM27" s="10"/>
      <c r="AN27" s="10"/>
      <c r="AO27" s="10"/>
      <c r="AP27" s="10"/>
      <c r="AQ27" s="10"/>
      <c r="AR27" s="10">
        <v>1</v>
      </c>
      <c r="AS27" s="10"/>
      <c r="AT27" s="10"/>
      <c r="AU27" s="10"/>
      <c r="AV27" s="10" t="s">
        <v>309</v>
      </c>
      <c r="AW27" s="7"/>
    </row>
    <row r="28" spans="1:49" x14ac:dyDescent="0.2">
      <c r="A28" s="17">
        <v>27</v>
      </c>
      <c r="B28" s="10">
        <v>38.292841985821703</v>
      </c>
      <c r="C28" s="10">
        <f>-28.3223540056496</f>
        <v>-28.322354005649601</v>
      </c>
      <c r="D28" s="11">
        <v>41465</v>
      </c>
      <c r="E28" s="12">
        <v>0.73255787037037035</v>
      </c>
      <c r="F28" s="12"/>
      <c r="G28" s="12">
        <v>6.9444444444444447E-4</v>
      </c>
      <c r="H28" s="10" t="s">
        <v>69</v>
      </c>
      <c r="I28" s="10" t="s">
        <v>70</v>
      </c>
      <c r="J28" s="10" t="s">
        <v>70</v>
      </c>
      <c r="K28" s="10"/>
      <c r="L28" s="10"/>
      <c r="M28" s="10"/>
      <c r="N28" s="10"/>
      <c r="O28" s="10"/>
      <c r="P28" s="10">
        <v>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>
        <v>2</v>
      </c>
      <c r="AC28" s="10">
        <v>1</v>
      </c>
      <c r="AD28" s="10">
        <v>1</v>
      </c>
      <c r="AE28" s="10"/>
      <c r="AF28" s="10"/>
      <c r="AG28" s="10"/>
      <c r="AH28" s="10"/>
      <c r="AI28" s="10"/>
      <c r="AJ28" s="10"/>
      <c r="AK28" s="10">
        <v>1</v>
      </c>
      <c r="AL28" s="10"/>
      <c r="AM28" s="10"/>
      <c r="AN28" s="10"/>
      <c r="AO28" s="10"/>
      <c r="AP28" s="10"/>
      <c r="AQ28" s="10"/>
      <c r="AR28" s="10">
        <v>1</v>
      </c>
      <c r="AS28" s="10"/>
      <c r="AT28" s="10"/>
      <c r="AU28" s="10"/>
      <c r="AV28" s="10" t="s">
        <v>309</v>
      </c>
      <c r="AW28" s="7"/>
    </row>
    <row r="29" spans="1:49" x14ac:dyDescent="0.2">
      <c r="A29" s="17">
        <v>28</v>
      </c>
      <c r="B29" s="10">
        <v>38.379782019182997</v>
      </c>
      <c r="C29" s="10">
        <f>-28.3080320153385</f>
        <v>-28.308032015338501</v>
      </c>
      <c r="D29" s="11">
        <v>41467</v>
      </c>
      <c r="E29" s="12">
        <v>0.42934027777777778</v>
      </c>
      <c r="F29" s="12">
        <v>0.43762731481481482</v>
      </c>
      <c r="G29" s="12">
        <f t="shared" si="0"/>
        <v>8.2870370370370372E-3</v>
      </c>
      <c r="H29" s="10" t="s">
        <v>71</v>
      </c>
      <c r="I29" s="10" t="s">
        <v>10</v>
      </c>
      <c r="J29" s="10" t="s">
        <v>73</v>
      </c>
      <c r="K29" s="10"/>
      <c r="L29" s="10"/>
      <c r="M29" s="10"/>
      <c r="N29" s="10"/>
      <c r="O29" s="10">
        <v>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>
        <v>6</v>
      </c>
      <c r="AC29" s="10">
        <v>4</v>
      </c>
      <c r="AD29" s="10"/>
      <c r="AE29" s="10">
        <v>2</v>
      </c>
      <c r="AF29" s="10"/>
      <c r="AG29" s="10"/>
      <c r="AH29" s="10"/>
      <c r="AI29" s="10"/>
      <c r="AJ29" s="10"/>
      <c r="AK29" s="10">
        <v>1</v>
      </c>
      <c r="AL29" s="10"/>
      <c r="AM29" s="10"/>
      <c r="AN29" s="10"/>
      <c r="AO29" s="10"/>
      <c r="AP29" s="10"/>
      <c r="AQ29" s="10"/>
      <c r="AR29" s="10">
        <v>1</v>
      </c>
      <c r="AS29" s="10"/>
      <c r="AT29" s="10"/>
      <c r="AU29" s="10"/>
      <c r="AV29" s="10" t="s">
        <v>309</v>
      </c>
      <c r="AW29" s="7"/>
    </row>
    <row r="30" spans="1:49" x14ac:dyDescent="0.2">
      <c r="A30" s="17">
        <v>29</v>
      </c>
      <c r="B30" s="10">
        <v>38.322596987709403</v>
      </c>
      <c r="C30" s="10">
        <f>-28.3849779702723</f>
        <v>-28.384977970272299</v>
      </c>
      <c r="D30" s="11">
        <v>41467</v>
      </c>
      <c r="E30" s="12">
        <v>0.72642361111111109</v>
      </c>
      <c r="F30" s="12"/>
      <c r="G30" s="12">
        <v>6.9444444444444447E-4</v>
      </c>
      <c r="H30" s="10" t="s">
        <v>74</v>
      </c>
      <c r="I30" s="10" t="s">
        <v>75</v>
      </c>
      <c r="J30" s="10" t="s">
        <v>75</v>
      </c>
      <c r="K30" s="10"/>
      <c r="L30" s="10"/>
      <c r="M30" s="10"/>
      <c r="N30" s="10"/>
      <c r="O30" s="10"/>
      <c r="P30" s="10">
        <v>1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>
        <v>5</v>
      </c>
      <c r="AC30" s="10">
        <v>5</v>
      </c>
      <c r="AD30" s="10"/>
      <c r="AE30" s="10"/>
      <c r="AF30" s="10"/>
      <c r="AG30" s="10"/>
      <c r="AH30" s="10"/>
      <c r="AI30" s="10"/>
      <c r="AJ30" s="10"/>
      <c r="AK30" s="10">
        <v>1</v>
      </c>
      <c r="AL30" s="10"/>
      <c r="AM30" s="10"/>
      <c r="AN30" s="10"/>
      <c r="AO30" s="10"/>
      <c r="AP30" s="10"/>
      <c r="AQ30" s="10"/>
      <c r="AR30" s="10">
        <v>1</v>
      </c>
      <c r="AS30" s="10"/>
      <c r="AT30" s="10"/>
      <c r="AU30" s="10"/>
      <c r="AV30" s="10" t="s">
        <v>309</v>
      </c>
      <c r="AW30" s="7"/>
    </row>
    <row r="31" spans="1:49" x14ac:dyDescent="0.2">
      <c r="A31" s="17">
        <v>30</v>
      </c>
      <c r="B31" s="10">
        <v>38.2914319820702</v>
      </c>
      <c r="C31" s="10">
        <f>-28.0246530286967</f>
        <v>-28.024653028696701</v>
      </c>
      <c r="D31" s="11">
        <v>41524</v>
      </c>
      <c r="E31" s="12">
        <v>0.49642361111111111</v>
      </c>
      <c r="F31" s="12"/>
      <c r="G31" s="12">
        <v>6.9444444444444447E-4</v>
      </c>
      <c r="H31" s="10" t="s">
        <v>76</v>
      </c>
      <c r="I31" s="10" t="s">
        <v>77</v>
      </c>
      <c r="J31" s="10" t="s">
        <v>77</v>
      </c>
      <c r="K31" s="10"/>
      <c r="L31" s="10"/>
      <c r="M31" s="10"/>
      <c r="N31" s="10"/>
      <c r="O31" s="10"/>
      <c r="P31" s="10">
        <v>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>
        <v>2</v>
      </c>
      <c r="AC31" s="10">
        <v>2</v>
      </c>
      <c r="AD31" s="10"/>
      <c r="AE31" s="10"/>
      <c r="AF31" s="10"/>
      <c r="AG31" s="10"/>
      <c r="AH31" s="10"/>
      <c r="AI31" s="10"/>
      <c r="AJ31" s="10"/>
      <c r="AK31" s="10">
        <v>1</v>
      </c>
      <c r="AL31" s="10"/>
      <c r="AM31" s="10"/>
      <c r="AN31" s="10"/>
      <c r="AO31" s="10"/>
      <c r="AP31" s="10"/>
      <c r="AQ31" s="10"/>
      <c r="AR31" s="10">
        <v>1</v>
      </c>
      <c r="AS31" s="10"/>
      <c r="AT31" s="10"/>
      <c r="AU31" s="10"/>
      <c r="AV31" s="10" t="s">
        <v>309</v>
      </c>
      <c r="AW31" s="7"/>
    </row>
    <row r="32" spans="1:49" x14ac:dyDescent="0.2">
      <c r="A32" s="17">
        <v>31</v>
      </c>
      <c r="B32" s="10">
        <v>38.313252003863397</v>
      </c>
      <c r="C32" s="10">
        <f>-27.9507920332252</f>
        <v>-27.950792033225198</v>
      </c>
      <c r="D32" s="11">
        <v>41526</v>
      </c>
      <c r="E32" s="12">
        <v>0.6582175925925926</v>
      </c>
      <c r="F32" s="12"/>
      <c r="G32" s="12">
        <v>6.9444444444444447E-4</v>
      </c>
      <c r="H32" s="10" t="s">
        <v>78</v>
      </c>
      <c r="I32" s="10" t="s">
        <v>79</v>
      </c>
      <c r="J32" s="10" t="s">
        <v>79</v>
      </c>
      <c r="K32" s="10"/>
      <c r="L32" s="10"/>
      <c r="M32" s="10"/>
      <c r="N32" s="10"/>
      <c r="O32" s="10"/>
      <c r="P32" s="10">
        <v>1</v>
      </c>
      <c r="Q32" s="10"/>
      <c r="R32" s="10"/>
      <c r="S32" s="10"/>
      <c r="T32" s="10"/>
      <c r="U32" s="10"/>
      <c r="V32" s="10"/>
      <c r="W32" s="10">
        <v>1</v>
      </c>
      <c r="X32" s="10"/>
      <c r="Y32" s="10"/>
      <c r="Z32" s="10"/>
      <c r="AA32" s="10"/>
      <c r="AB32" s="10">
        <v>5</v>
      </c>
      <c r="AC32" s="10">
        <v>5</v>
      </c>
      <c r="AD32" s="10"/>
      <c r="AE32" s="10"/>
      <c r="AF32" s="10"/>
      <c r="AG32" s="10"/>
      <c r="AH32" s="10"/>
      <c r="AI32" s="10"/>
      <c r="AJ32" s="10"/>
      <c r="AK32" s="10">
        <v>1</v>
      </c>
      <c r="AL32" s="10"/>
      <c r="AM32" s="10"/>
      <c r="AN32" s="10"/>
      <c r="AO32" s="10"/>
      <c r="AP32" s="10"/>
      <c r="AQ32" s="10"/>
      <c r="AR32" s="10">
        <v>1</v>
      </c>
      <c r="AS32" s="10"/>
      <c r="AT32" s="10"/>
      <c r="AU32" s="10"/>
      <c r="AV32" s="10" t="s">
        <v>309</v>
      </c>
      <c r="AW32" s="7"/>
    </row>
    <row r="33" spans="1:49" x14ac:dyDescent="0.2">
      <c r="A33" s="17">
        <v>32</v>
      </c>
      <c r="B33" s="10">
        <v>38.3670870400965</v>
      </c>
      <c r="C33" s="10">
        <f>-28.1786190345883</f>
        <v>-28.178619034588301</v>
      </c>
      <c r="D33" s="11">
        <v>41827</v>
      </c>
      <c r="E33" s="12">
        <v>0.65065972222222224</v>
      </c>
      <c r="F33" s="12"/>
      <c r="G33" s="12">
        <v>6.9444444444444447E-4</v>
      </c>
      <c r="H33" s="10" t="s">
        <v>80</v>
      </c>
      <c r="I33" s="10" t="s">
        <v>81</v>
      </c>
      <c r="J33" s="10" t="s">
        <v>81</v>
      </c>
      <c r="K33" s="10"/>
      <c r="L33" s="10"/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>
        <v>10</v>
      </c>
      <c r="AC33" s="10">
        <v>5</v>
      </c>
      <c r="AD33" s="10">
        <v>3</v>
      </c>
      <c r="AE33" s="10">
        <v>2</v>
      </c>
      <c r="AF33" s="10"/>
      <c r="AG33" s="10"/>
      <c r="AH33" s="10"/>
      <c r="AI33" s="10">
        <v>1</v>
      </c>
      <c r="AJ33" s="10"/>
      <c r="AK33" s="10"/>
      <c r="AL33" s="10"/>
      <c r="AM33" s="10">
        <v>1</v>
      </c>
      <c r="AN33" s="10"/>
      <c r="AO33" s="10"/>
      <c r="AP33" s="10"/>
      <c r="AQ33" s="10"/>
      <c r="AR33" s="10"/>
      <c r="AS33" s="10"/>
      <c r="AT33" s="10"/>
      <c r="AU33" s="10"/>
      <c r="AV33" s="10" t="s">
        <v>309</v>
      </c>
      <c r="AW33" s="7"/>
    </row>
    <row r="34" spans="1:49" x14ac:dyDescent="0.2">
      <c r="A34" s="17">
        <v>33</v>
      </c>
      <c r="B34" s="10">
        <v>38.3111520018428</v>
      </c>
      <c r="C34" s="10">
        <f>-28.2105779740959</f>
        <v>-28.210577974095902</v>
      </c>
      <c r="D34" s="11">
        <v>41827</v>
      </c>
      <c r="E34" s="12">
        <v>0.71348379629629621</v>
      </c>
      <c r="F34" s="12"/>
      <c r="G34" s="12">
        <v>6.9444444444444447E-4</v>
      </c>
      <c r="H34" s="10" t="s">
        <v>82</v>
      </c>
      <c r="I34" s="10" t="s">
        <v>83</v>
      </c>
      <c r="J34" s="10" t="s">
        <v>83</v>
      </c>
      <c r="K34" s="10"/>
      <c r="L34" s="10"/>
      <c r="M34" s="10"/>
      <c r="N34" s="10"/>
      <c r="O34" s="10"/>
      <c r="P34" s="10">
        <v>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>
        <v>10</v>
      </c>
      <c r="AC34" s="10">
        <v>5</v>
      </c>
      <c r="AD34" s="10">
        <v>3</v>
      </c>
      <c r="AE34" s="10">
        <v>2</v>
      </c>
      <c r="AF34" s="10"/>
      <c r="AG34" s="10"/>
      <c r="AH34" s="10"/>
      <c r="AI34" s="10">
        <v>1</v>
      </c>
      <c r="AJ34" s="10"/>
      <c r="AK34" s="10"/>
      <c r="AL34" s="10"/>
      <c r="AM34" s="10">
        <v>1</v>
      </c>
      <c r="AN34" s="10"/>
      <c r="AO34" s="10"/>
      <c r="AP34" s="10"/>
      <c r="AQ34" s="10"/>
      <c r="AR34" s="10"/>
      <c r="AS34" s="10"/>
      <c r="AT34" s="10"/>
      <c r="AU34" s="10"/>
      <c r="AV34" s="10" t="s">
        <v>309</v>
      </c>
      <c r="AW34" s="7"/>
    </row>
    <row r="35" spans="1:49" x14ac:dyDescent="0.2">
      <c r="A35" s="17">
        <v>34</v>
      </c>
      <c r="B35" s="10">
        <v>38.394081965088802</v>
      </c>
      <c r="C35" s="10">
        <f>-28.4716949611902</f>
        <v>-28.471694961190199</v>
      </c>
      <c r="D35" s="11">
        <v>41829</v>
      </c>
      <c r="E35" s="12">
        <v>0.50650462962962961</v>
      </c>
      <c r="F35" s="12">
        <v>0.51134259259259263</v>
      </c>
      <c r="G35" s="12">
        <f t="shared" si="0"/>
        <v>4.8379629629630161E-3</v>
      </c>
      <c r="H35" s="10" t="s">
        <v>84</v>
      </c>
      <c r="I35" s="10" t="s">
        <v>10</v>
      </c>
      <c r="J35" s="10" t="s">
        <v>86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>
        <v>1</v>
      </c>
      <c r="AB35" s="10">
        <v>10</v>
      </c>
      <c r="AC35" s="10">
        <v>5</v>
      </c>
      <c r="AD35" s="10">
        <v>2</v>
      </c>
      <c r="AE35" s="10">
        <v>3</v>
      </c>
      <c r="AF35" s="10"/>
      <c r="AG35" s="10"/>
      <c r="AH35" s="10"/>
      <c r="AI35" s="10">
        <v>1</v>
      </c>
      <c r="AJ35" s="10"/>
      <c r="AK35" s="10"/>
      <c r="AL35" s="10">
        <v>1</v>
      </c>
      <c r="AM35" s="10"/>
      <c r="AN35" s="10"/>
      <c r="AO35" s="10"/>
      <c r="AP35" s="10"/>
      <c r="AQ35" s="10"/>
      <c r="AR35" s="10"/>
      <c r="AS35" s="10"/>
      <c r="AT35" s="10"/>
      <c r="AU35" s="10"/>
      <c r="AV35" s="10" t="s">
        <v>309</v>
      </c>
      <c r="AW35" s="7"/>
    </row>
    <row r="36" spans="1:49" x14ac:dyDescent="0.2">
      <c r="A36" s="17">
        <v>35</v>
      </c>
      <c r="B36" s="10">
        <v>38.379627037793298</v>
      </c>
      <c r="C36" s="10">
        <f>-28.4471830073744</f>
        <v>-28.447183007374399</v>
      </c>
      <c r="D36" s="11">
        <v>41829</v>
      </c>
      <c r="E36" s="12">
        <v>0.517511574074074</v>
      </c>
      <c r="F36" s="12">
        <v>0.52253472222222219</v>
      </c>
      <c r="G36" s="12">
        <f t="shared" si="0"/>
        <v>5.0231481481481932E-3</v>
      </c>
      <c r="H36" s="10" t="s">
        <v>87</v>
      </c>
      <c r="I36" s="10" t="s">
        <v>10</v>
      </c>
      <c r="J36" s="10" t="s">
        <v>89</v>
      </c>
      <c r="K36" s="10"/>
      <c r="L36" s="10"/>
      <c r="M36" s="10"/>
      <c r="N36" s="10"/>
      <c r="O36" s="10">
        <v>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>
        <v>20</v>
      </c>
      <c r="AC36" s="10">
        <v>10</v>
      </c>
      <c r="AD36" s="10">
        <v>5</v>
      </c>
      <c r="AE36" s="10">
        <v>5</v>
      </c>
      <c r="AF36" s="10"/>
      <c r="AG36" s="10"/>
      <c r="AH36" s="10"/>
      <c r="AI36" s="10">
        <v>1</v>
      </c>
      <c r="AJ36" s="10"/>
      <c r="AK36" s="10"/>
      <c r="AL36" s="10"/>
      <c r="AM36" s="10">
        <v>1</v>
      </c>
      <c r="AN36" s="10"/>
      <c r="AO36" s="10"/>
      <c r="AP36" s="10"/>
      <c r="AQ36" s="10"/>
      <c r="AR36" s="10"/>
      <c r="AS36" s="10"/>
      <c r="AT36" s="10"/>
      <c r="AU36" s="10"/>
      <c r="AV36" s="10" t="s">
        <v>309</v>
      </c>
      <c r="AW36" s="7"/>
    </row>
    <row r="37" spans="1:49" x14ac:dyDescent="0.2">
      <c r="A37" s="17">
        <v>36</v>
      </c>
      <c r="B37" s="10">
        <v>38.295119013637297</v>
      </c>
      <c r="C37" s="10">
        <f>-28.3841319847851</f>
        <v>-28.3841319847851</v>
      </c>
      <c r="D37" s="11">
        <v>41835</v>
      </c>
      <c r="E37" s="12">
        <v>0.6994097222222222</v>
      </c>
      <c r="F37" s="12">
        <v>0.70140046296296299</v>
      </c>
      <c r="G37" s="12">
        <f t="shared" si="0"/>
        <v>1.9907407407407929E-3</v>
      </c>
      <c r="H37" s="10" t="s">
        <v>90</v>
      </c>
      <c r="I37" s="10" t="s">
        <v>10</v>
      </c>
      <c r="J37" s="10" t="s">
        <v>92</v>
      </c>
      <c r="K37" s="10"/>
      <c r="L37" s="10"/>
      <c r="M37" s="10"/>
      <c r="N37" s="10">
        <v>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>
        <v>10</v>
      </c>
      <c r="AC37" s="10">
        <v>6</v>
      </c>
      <c r="AD37" s="10">
        <v>2</v>
      </c>
      <c r="AE37" s="10">
        <v>2</v>
      </c>
      <c r="AF37" s="10"/>
      <c r="AG37" s="10"/>
      <c r="AH37" s="10"/>
      <c r="AI37" s="10">
        <v>1</v>
      </c>
      <c r="AJ37" s="10"/>
      <c r="AK37" s="10"/>
      <c r="AL37" s="10"/>
      <c r="AM37" s="10">
        <v>1</v>
      </c>
      <c r="AN37" s="10"/>
      <c r="AO37" s="10"/>
      <c r="AP37" s="10"/>
      <c r="AQ37" s="10"/>
      <c r="AR37" s="10"/>
      <c r="AS37" s="10"/>
      <c r="AT37" s="10"/>
      <c r="AU37" s="10"/>
      <c r="AV37" s="10" t="s">
        <v>309</v>
      </c>
      <c r="AW37" s="7"/>
    </row>
    <row r="38" spans="1:49" x14ac:dyDescent="0.2">
      <c r="A38" s="17">
        <v>37</v>
      </c>
      <c r="B38" s="10">
        <v>38.365589026361697</v>
      </c>
      <c r="C38" s="10">
        <f>-28.1764050386846</f>
        <v>-28.176405038684599</v>
      </c>
      <c r="D38" s="11">
        <v>41843</v>
      </c>
      <c r="E38" s="12">
        <v>0.45273148148148151</v>
      </c>
      <c r="F38" s="12"/>
      <c r="G38" s="12">
        <v>6.9444444444444447E-4</v>
      </c>
      <c r="H38" s="10" t="s">
        <v>93</v>
      </c>
      <c r="I38" s="10" t="s">
        <v>94</v>
      </c>
      <c r="J38" s="10" t="s">
        <v>94</v>
      </c>
      <c r="K38" s="10"/>
      <c r="L38" s="10"/>
      <c r="M38" s="10"/>
      <c r="N38" s="10"/>
      <c r="O38" s="10"/>
      <c r="P38" s="10">
        <v>1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>
        <v>8</v>
      </c>
      <c r="AC38" s="10">
        <v>5</v>
      </c>
      <c r="AD38" s="10">
        <v>2</v>
      </c>
      <c r="AE38" s="10">
        <v>1</v>
      </c>
      <c r="AF38" s="10"/>
      <c r="AG38" s="10"/>
      <c r="AH38" s="10"/>
      <c r="AI38" s="10">
        <v>1</v>
      </c>
      <c r="AJ38" s="10"/>
      <c r="AK38" s="10"/>
      <c r="AL38" s="10"/>
      <c r="AM38" s="10">
        <v>1</v>
      </c>
      <c r="AN38" s="10"/>
      <c r="AO38" s="10"/>
      <c r="AP38" s="10"/>
      <c r="AQ38" s="10"/>
      <c r="AR38" s="10"/>
      <c r="AS38" s="10"/>
      <c r="AT38" s="10"/>
      <c r="AU38" s="10"/>
      <c r="AV38" s="10" t="s">
        <v>309</v>
      </c>
      <c r="AW38" s="7"/>
    </row>
    <row r="39" spans="1:49" x14ac:dyDescent="0.2">
      <c r="A39" s="17">
        <v>38</v>
      </c>
      <c r="B39" s="10">
        <v>38.3266020286828</v>
      </c>
      <c r="C39" s="10">
        <f>-28.2373350206762</f>
        <v>-28.237335020676198</v>
      </c>
      <c r="D39" s="11">
        <v>42181</v>
      </c>
      <c r="E39" s="12">
        <v>0.69045138888888891</v>
      </c>
      <c r="F39" s="12"/>
      <c r="G39" s="12">
        <v>6.9444444444444447E-4</v>
      </c>
      <c r="H39" s="10" t="s">
        <v>95</v>
      </c>
      <c r="I39" s="10" t="s">
        <v>96</v>
      </c>
      <c r="J39" s="10" t="s">
        <v>96</v>
      </c>
      <c r="K39" s="10"/>
      <c r="L39" s="10"/>
      <c r="M39" s="10"/>
      <c r="N39" s="10"/>
      <c r="O39" s="10"/>
      <c r="P39" s="10">
        <v>1</v>
      </c>
      <c r="Q39" s="10"/>
      <c r="R39" s="10">
        <v>1</v>
      </c>
      <c r="S39" s="10"/>
      <c r="T39" s="10"/>
      <c r="U39" s="10"/>
      <c r="V39" s="10"/>
      <c r="W39" s="10"/>
      <c r="X39" s="10"/>
      <c r="Y39" s="10"/>
      <c r="Z39" s="10"/>
      <c r="AA39" s="10"/>
      <c r="AB39" s="10">
        <v>5</v>
      </c>
      <c r="AC39" s="10">
        <v>3</v>
      </c>
      <c r="AD39" s="10">
        <v>2</v>
      </c>
      <c r="AE39" s="10"/>
      <c r="AF39" s="10"/>
      <c r="AG39" s="10"/>
      <c r="AH39" s="10"/>
      <c r="AI39" s="10"/>
      <c r="AJ39" s="10">
        <v>1</v>
      </c>
      <c r="AK39" s="10"/>
      <c r="AL39" s="10"/>
      <c r="AM39" s="10"/>
      <c r="AN39" s="10">
        <v>1</v>
      </c>
      <c r="AO39" s="10"/>
      <c r="AP39" s="10"/>
      <c r="AQ39" s="10"/>
      <c r="AR39" s="10"/>
      <c r="AS39" s="10">
        <v>1</v>
      </c>
      <c r="AT39" s="10"/>
      <c r="AU39" s="10"/>
      <c r="AV39" s="10" t="s">
        <v>309</v>
      </c>
      <c r="AW39" s="7"/>
    </row>
    <row r="40" spans="1:49" x14ac:dyDescent="0.2">
      <c r="A40" s="17">
        <v>39</v>
      </c>
      <c r="B40" s="10">
        <v>38.360539013519798</v>
      </c>
      <c r="C40" s="10">
        <f>-28.1879249587655</f>
        <v>-28.1879249587655</v>
      </c>
      <c r="D40" s="11">
        <v>42186</v>
      </c>
      <c r="E40" s="12">
        <v>0.48350694444444442</v>
      </c>
      <c r="F40" s="12"/>
      <c r="G40" s="12">
        <v>6.9444444444444447E-4</v>
      </c>
      <c r="H40" s="10" t="s">
        <v>97</v>
      </c>
      <c r="I40" s="10" t="s">
        <v>98</v>
      </c>
      <c r="J40" s="10" t="s">
        <v>98</v>
      </c>
      <c r="K40" s="10"/>
      <c r="L40" s="10"/>
      <c r="M40" s="10"/>
      <c r="N40" s="10"/>
      <c r="O40" s="10"/>
      <c r="P40" s="10"/>
      <c r="Q40" s="10"/>
      <c r="R40" s="10">
        <v>1</v>
      </c>
      <c r="S40" s="10"/>
      <c r="T40" s="10"/>
      <c r="U40" s="10"/>
      <c r="V40" s="10"/>
      <c r="W40" s="10"/>
      <c r="X40" s="10"/>
      <c r="Y40" s="10"/>
      <c r="Z40" s="10"/>
      <c r="AA40" s="10"/>
      <c r="AB40" s="10">
        <v>4</v>
      </c>
      <c r="AC40" s="10">
        <v>2</v>
      </c>
      <c r="AD40" s="10"/>
      <c r="AE40" s="10">
        <v>2</v>
      </c>
      <c r="AF40" s="10"/>
      <c r="AG40" s="10"/>
      <c r="AH40" s="10"/>
      <c r="AI40" s="10">
        <v>1</v>
      </c>
      <c r="AJ40" s="10"/>
      <c r="AK40" s="10"/>
      <c r="AL40" s="10"/>
      <c r="AM40" s="10"/>
      <c r="AN40" s="10"/>
      <c r="AO40" s="10">
        <v>1</v>
      </c>
      <c r="AP40" s="10"/>
      <c r="AQ40" s="10"/>
      <c r="AR40" s="10"/>
      <c r="AS40" s="10">
        <v>1</v>
      </c>
      <c r="AT40" s="10"/>
      <c r="AU40" s="10"/>
      <c r="AV40" s="10" t="s">
        <v>309</v>
      </c>
      <c r="AW40" s="7"/>
    </row>
    <row r="41" spans="1:49" x14ac:dyDescent="0.2">
      <c r="A41" s="17">
        <v>40</v>
      </c>
      <c r="B41" s="10">
        <v>38.392540030181401</v>
      </c>
      <c r="C41" s="10">
        <f>-28.4413679782301</f>
        <v>-28.441367978230101</v>
      </c>
      <c r="D41" s="11">
        <v>42186</v>
      </c>
      <c r="E41" s="12">
        <v>0.67578703703703702</v>
      </c>
      <c r="F41" s="12">
        <v>0.68409722222222225</v>
      </c>
      <c r="G41" s="12">
        <f t="shared" si="0"/>
        <v>8.310185185185226E-3</v>
      </c>
      <c r="H41" s="10" t="s">
        <v>99</v>
      </c>
      <c r="I41" s="10" t="s">
        <v>10</v>
      </c>
      <c r="J41" s="10" t="s">
        <v>101</v>
      </c>
      <c r="K41" s="10"/>
      <c r="L41" s="10"/>
      <c r="M41" s="10"/>
      <c r="N41" s="10"/>
      <c r="O41" s="10"/>
      <c r="P41" s="10">
        <v>1</v>
      </c>
      <c r="Q41" s="10"/>
      <c r="R41" s="10">
        <v>1</v>
      </c>
      <c r="S41" s="10"/>
      <c r="T41" s="10"/>
      <c r="U41" s="10"/>
      <c r="V41" s="10"/>
      <c r="W41" s="10"/>
      <c r="X41" s="10"/>
      <c r="Y41" s="10"/>
      <c r="Z41" s="10"/>
      <c r="AA41" s="10"/>
      <c r="AB41" s="10">
        <v>3</v>
      </c>
      <c r="AC41" s="10">
        <v>2</v>
      </c>
      <c r="AD41" s="10">
        <v>1</v>
      </c>
      <c r="AE41" s="10"/>
      <c r="AF41" s="10"/>
      <c r="AG41" s="10"/>
      <c r="AH41" s="10"/>
      <c r="AI41" s="10">
        <v>1</v>
      </c>
      <c r="AJ41" s="10"/>
      <c r="AK41" s="10"/>
      <c r="AL41" s="10"/>
      <c r="AM41" s="10"/>
      <c r="AN41" s="10"/>
      <c r="AO41" s="10">
        <v>1</v>
      </c>
      <c r="AP41" s="10"/>
      <c r="AQ41" s="10"/>
      <c r="AR41" s="10"/>
      <c r="AS41" s="10">
        <v>2</v>
      </c>
      <c r="AT41" s="10"/>
      <c r="AU41" s="10"/>
      <c r="AV41" s="10" t="s">
        <v>309</v>
      </c>
      <c r="AW41" s="7"/>
    </row>
    <row r="42" spans="1:49" x14ac:dyDescent="0.2">
      <c r="A42" s="17">
        <v>41</v>
      </c>
      <c r="B42" s="10">
        <v>38.377854013815501</v>
      </c>
      <c r="C42" s="10">
        <f>-28.1679829861968</f>
        <v>-28.167982986196801</v>
      </c>
      <c r="D42" s="11">
        <v>42195</v>
      </c>
      <c r="E42" s="12">
        <v>0.45606481481481481</v>
      </c>
      <c r="F42" s="12">
        <v>0.46334490740740741</v>
      </c>
      <c r="G42" s="12">
        <f t="shared" si="0"/>
        <v>7.2800925925926019E-3</v>
      </c>
      <c r="H42" s="10" t="s">
        <v>102</v>
      </c>
      <c r="I42" s="10" t="s">
        <v>10</v>
      </c>
      <c r="J42" s="10" t="s">
        <v>104</v>
      </c>
      <c r="K42" s="10"/>
      <c r="L42" s="10"/>
      <c r="M42" s="10"/>
      <c r="N42" s="10"/>
      <c r="O42" s="10">
        <v>1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>
        <v>6</v>
      </c>
      <c r="AC42" s="10">
        <v>4</v>
      </c>
      <c r="AD42" s="10">
        <v>1</v>
      </c>
      <c r="AE42" s="10">
        <v>1</v>
      </c>
      <c r="AF42" s="10"/>
      <c r="AG42" s="10"/>
      <c r="AH42" s="10"/>
      <c r="AI42" s="10">
        <v>1</v>
      </c>
      <c r="AJ42" s="10"/>
      <c r="AK42" s="10"/>
      <c r="AL42" s="10"/>
      <c r="AM42" s="10">
        <v>1</v>
      </c>
      <c r="AN42" s="10"/>
      <c r="AO42" s="10"/>
      <c r="AP42" s="10"/>
      <c r="AQ42" s="10"/>
      <c r="AR42" s="10"/>
      <c r="AS42" s="10">
        <v>1</v>
      </c>
      <c r="AT42" s="10"/>
      <c r="AU42" s="10"/>
      <c r="AV42" s="10" t="s">
        <v>309</v>
      </c>
      <c r="AW42" s="7"/>
    </row>
    <row r="43" spans="1:49" x14ac:dyDescent="0.2">
      <c r="A43" s="17">
        <v>42</v>
      </c>
      <c r="B43" s="10">
        <v>38.199428021907799</v>
      </c>
      <c r="C43" s="10">
        <f>-28.1795350089669</f>
        <v>-28.179535008966901</v>
      </c>
      <c r="D43" s="11">
        <v>42206</v>
      </c>
      <c r="E43" s="12">
        <v>0.68925925925925924</v>
      </c>
      <c r="F43" s="12"/>
      <c r="G43" s="12">
        <v>6.9444444444444447E-4</v>
      </c>
      <c r="H43" s="10" t="s">
        <v>105</v>
      </c>
      <c r="I43" s="10" t="s">
        <v>106</v>
      </c>
      <c r="J43" s="10" t="s">
        <v>106</v>
      </c>
      <c r="K43" s="10"/>
      <c r="L43" s="10"/>
      <c r="M43" s="10"/>
      <c r="N43" s="10">
        <v>1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>
        <v>6</v>
      </c>
      <c r="AC43" s="10">
        <v>6</v>
      </c>
      <c r="AD43" s="10"/>
      <c r="AE43" s="10"/>
      <c r="AF43" s="10"/>
      <c r="AG43" s="10"/>
      <c r="AH43" s="10"/>
      <c r="AI43" s="10">
        <v>1</v>
      </c>
      <c r="AJ43" s="10"/>
      <c r="AK43" s="10"/>
      <c r="AL43" s="10"/>
      <c r="AM43" s="10"/>
      <c r="AN43" s="10">
        <v>1</v>
      </c>
      <c r="AO43" s="10"/>
      <c r="AP43" s="10"/>
      <c r="AQ43" s="10"/>
      <c r="AR43" s="10"/>
      <c r="AS43" s="10">
        <v>1</v>
      </c>
      <c r="AT43" s="10"/>
      <c r="AU43" s="10"/>
      <c r="AV43" s="10" t="s">
        <v>309</v>
      </c>
      <c r="AW43" s="7"/>
    </row>
    <row r="44" spans="1:49" x14ac:dyDescent="0.2">
      <c r="A44" s="17">
        <v>43</v>
      </c>
      <c r="B44" s="10">
        <v>38.352763960137899</v>
      </c>
      <c r="C44" s="10">
        <f>-28.2280359696596</f>
        <v>-28.228035969659601</v>
      </c>
      <c r="D44" s="11">
        <v>42211</v>
      </c>
      <c r="E44" s="12">
        <v>0.46694444444444444</v>
      </c>
      <c r="F44" s="12"/>
      <c r="G44" s="12">
        <v>6.9444444444444447E-4</v>
      </c>
      <c r="H44" s="10" t="s">
        <v>107</v>
      </c>
      <c r="I44" s="10" t="s">
        <v>108</v>
      </c>
      <c r="J44" s="10" t="s">
        <v>108</v>
      </c>
      <c r="K44" s="10"/>
      <c r="L44" s="10"/>
      <c r="M44" s="10"/>
      <c r="N44" s="10"/>
      <c r="O44" s="10"/>
      <c r="P44" s="10">
        <v>1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>
        <v>5</v>
      </c>
      <c r="AC44" s="10">
        <v>5</v>
      </c>
      <c r="AD44" s="10"/>
      <c r="AE44" s="10"/>
      <c r="AF44" s="10"/>
      <c r="AG44" s="10"/>
      <c r="AH44" s="10"/>
      <c r="AI44" s="10">
        <v>1</v>
      </c>
      <c r="AJ44" s="10"/>
      <c r="AK44" s="10"/>
      <c r="AL44" s="10"/>
      <c r="AM44" s="10"/>
      <c r="AN44" s="10">
        <v>1</v>
      </c>
      <c r="AO44" s="10"/>
      <c r="AP44" s="10"/>
      <c r="AQ44" s="10"/>
      <c r="AR44" s="10"/>
      <c r="AS44" s="10">
        <v>1</v>
      </c>
      <c r="AT44" s="10"/>
      <c r="AU44" s="10"/>
      <c r="AV44" s="10" t="s">
        <v>309</v>
      </c>
      <c r="AW44" s="7"/>
    </row>
    <row r="45" spans="1:49" x14ac:dyDescent="0.2">
      <c r="A45" s="17">
        <v>44</v>
      </c>
      <c r="B45" s="10">
        <v>38.365936959162298</v>
      </c>
      <c r="C45" s="10">
        <f>-28.313039029017</f>
        <v>-28.313039029016998</v>
      </c>
      <c r="D45" s="11">
        <v>42245</v>
      </c>
      <c r="E45" s="12">
        <v>0.46626157407407409</v>
      </c>
      <c r="F45" s="12">
        <v>0.46815972222222224</v>
      </c>
      <c r="G45" s="12">
        <f t="shared" si="0"/>
        <v>1.8981481481481488E-3</v>
      </c>
      <c r="H45" s="10" t="s">
        <v>109</v>
      </c>
      <c r="I45" s="10" t="s">
        <v>10</v>
      </c>
      <c r="J45" s="10" t="s">
        <v>111</v>
      </c>
      <c r="K45" s="10"/>
      <c r="L45" s="10">
        <v>1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>
        <v>3</v>
      </c>
      <c r="AC45" s="10">
        <v>3</v>
      </c>
      <c r="AD45" s="10"/>
      <c r="AE45" s="10"/>
      <c r="AF45" s="10"/>
      <c r="AG45" s="10"/>
      <c r="AH45" s="10"/>
      <c r="AI45" s="10">
        <v>1</v>
      </c>
      <c r="AJ45" s="10"/>
      <c r="AK45" s="10"/>
      <c r="AL45" s="10"/>
      <c r="AM45" s="10">
        <v>1</v>
      </c>
      <c r="AN45" s="10"/>
      <c r="AO45" s="10"/>
      <c r="AP45" s="10"/>
      <c r="AQ45" s="10"/>
      <c r="AR45" s="10"/>
      <c r="AS45" s="10">
        <v>3</v>
      </c>
      <c r="AT45" s="10"/>
      <c r="AU45" s="10"/>
      <c r="AV45" s="10" t="s">
        <v>309</v>
      </c>
      <c r="AW45" s="7"/>
    </row>
    <row r="46" spans="1:49" x14ac:dyDescent="0.2">
      <c r="A46" s="17">
        <v>45</v>
      </c>
      <c r="B46" s="10">
        <v>38.339085029438102</v>
      </c>
      <c r="C46" s="10">
        <f>-28.3431289717555</f>
        <v>-28.343128971755501</v>
      </c>
      <c r="D46" s="11">
        <v>42251</v>
      </c>
      <c r="E46" s="12">
        <v>0.68541666666666667</v>
      </c>
      <c r="F46" s="12"/>
      <c r="G46" s="12">
        <v>6.9444444444444447E-4</v>
      </c>
      <c r="H46" s="10" t="s">
        <v>112</v>
      </c>
      <c r="I46" s="10" t="s">
        <v>113</v>
      </c>
      <c r="J46" s="10" t="s">
        <v>113</v>
      </c>
      <c r="K46" s="10"/>
      <c r="L46" s="10"/>
      <c r="M46" s="10"/>
      <c r="N46" s="10"/>
      <c r="O46" s="10"/>
      <c r="P46" s="10">
        <v>1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>
        <v>3</v>
      </c>
      <c r="AC46" s="10">
        <v>3</v>
      </c>
      <c r="AD46" s="10"/>
      <c r="AE46" s="10"/>
      <c r="AF46" s="10"/>
      <c r="AG46" s="10"/>
      <c r="AH46" s="10"/>
      <c r="AI46" s="10">
        <v>1</v>
      </c>
      <c r="AJ46" s="10"/>
      <c r="AK46" s="10"/>
      <c r="AL46" s="10"/>
      <c r="AM46" s="10">
        <v>1</v>
      </c>
      <c r="AN46" s="10"/>
      <c r="AO46" s="10"/>
      <c r="AP46" s="10"/>
      <c r="AQ46" s="10"/>
      <c r="AR46" s="10"/>
      <c r="AS46" s="10">
        <v>4</v>
      </c>
      <c r="AT46" s="10"/>
      <c r="AU46" s="10"/>
      <c r="AV46" s="10" t="s">
        <v>309</v>
      </c>
      <c r="AW46" s="7"/>
    </row>
    <row r="47" spans="1:49" x14ac:dyDescent="0.2">
      <c r="A47" s="17">
        <v>46</v>
      </c>
      <c r="B47" s="10">
        <v>38.3909519948065</v>
      </c>
      <c r="C47" s="10">
        <f>-28.4189449623227</f>
        <v>-28.418944962322701</v>
      </c>
      <c r="D47" s="11">
        <v>42283</v>
      </c>
      <c r="E47" s="12">
        <v>0.7374074074074074</v>
      </c>
      <c r="F47" s="12"/>
      <c r="G47" s="12">
        <v>6.9444444444444447E-4</v>
      </c>
      <c r="H47" s="10" t="s">
        <v>114</v>
      </c>
      <c r="I47" s="10" t="s">
        <v>115</v>
      </c>
      <c r="J47" s="10" t="s">
        <v>115</v>
      </c>
      <c r="K47" s="10"/>
      <c r="L47" s="10"/>
      <c r="M47" s="10"/>
      <c r="N47" s="10">
        <v>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>
        <v>5</v>
      </c>
      <c r="AC47" s="10">
        <v>5</v>
      </c>
      <c r="AD47" s="10"/>
      <c r="AE47" s="10"/>
      <c r="AF47" s="10"/>
      <c r="AG47" s="10"/>
      <c r="AH47" s="10"/>
      <c r="AI47" s="10"/>
      <c r="AJ47" s="10">
        <v>1</v>
      </c>
      <c r="AK47" s="10"/>
      <c r="AL47" s="10"/>
      <c r="AM47" s="10">
        <v>1</v>
      </c>
      <c r="AN47" s="10"/>
      <c r="AO47" s="10"/>
      <c r="AP47" s="10"/>
      <c r="AQ47" s="10"/>
      <c r="AR47" s="10"/>
      <c r="AS47" s="10">
        <v>1</v>
      </c>
      <c r="AT47" s="10"/>
      <c r="AU47" s="10"/>
      <c r="AV47" s="10" t="s">
        <v>309</v>
      </c>
      <c r="AW47" s="7"/>
    </row>
    <row r="48" spans="1:49" x14ac:dyDescent="0.2">
      <c r="A48" s="17">
        <v>47</v>
      </c>
      <c r="B48" s="10">
        <v>38.312099995091501</v>
      </c>
      <c r="C48" s="10">
        <f>-28.3599510323256</f>
        <v>-28.359951032325601</v>
      </c>
      <c r="D48" s="11">
        <v>42295</v>
      </c>
      <c r="E48" s="12">
        <v>0.43119212962962966</v>
      </c>
      <c r="F48" s="12"/>
      <c r="G48" s="12">
        <v>6.9444444444444447E-4</v>
      </c>
      <c r="H48" s="10" t="s">
        <v>116</v>
      </c>
      <c r="I48" s="10" t="s">
        <v>117</v>
      </c>
      <c r="J48" s="10" t="s">
        <v>117</v>
      </c>
      <c r="K48" s="10"/>
      <c r="L48" s="10">
        <v>1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>
        <v>5</v>
      </c>
      <c r="AC48" s="10">
        <v>5</v>
      </c>
      <c r="AD48" s="10"/>
      <c r="AE48" s="10"/>
      <c r="AF48" s="10"/>
      <c r="AG48" s="10"/>
      <c r="AH48" s="10"/>
      <c r="AI48" s="10">
        <v>1</v>
      </c>
      <c r="AJ48" s="10"/>
      <c r="AK48" s="10"/>
      <c r="AL48" s="10"/>
      <c r="AM48" s="10"/>
      <c r="AN48" s="10">
        <v>1</v>
      </c>
      <c r="AO48" s="10"/>
      <c r="AP48" s="10"/>
      <c r="AQ48" s="10"/>
      <c r="AR48" s="10"/>
      <c r="AS48" s="10">
        <v>1</v>
      </c>
      <c r="AT48" s="10"/>
      <c r="AU48" s="10"/>
      <c r="AV48" s="10" t="s">
        <v>309</v>
      </c>
      <c r="AW48" s="7"/>
    </row>
    <row r="49" spans="1:49" x14ac:dyDescent="0.2">
      <c r="A49" s="17">
        <v>48</v>
      </c>
      <c r="B49" s="10">
        <v>38.270339006557997</v>
      </c>
      <c r="C49" s="10">
        <f>-28.4096409659832</f>
        <v>-28.409640965983201</v>
      </c>
      <c r="D49" s="11">
        <v>42476</v>
      </c>
      <c r="E49" s="12">
        <v>0.48231481481481481</v>
      </c>
      <c r="F49" s="12"/>
      <c r="G49" s="12">
        <v>6.9444444444444447E-4</v>
      </c>
      <c r="H49" s="10" t="s">
        <v>118</v>
      </c>
      <c r="I49" s="10" t="s">
        <v>119</v>
      </c>
      <c r="J49" s="10" t="s">
        <v>119</v>
      </c>
      <c r="K49" s="10"/>
      <c r="L49" s="10"/>
      <c r="M49" s="10"/>
      <c r="N49" s="10"/>
      <c r="O49" s="10"/>
      <c r="P49" s="10">
        <v>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>
        <v>3</v>
      </c>
      <c r="AC49" s="10">
        <v>3</v>
      </c>
      <c r="AD49" s="10"/>
      <c r="AE49" s="10"/>
      <c r="AF49" s="10"/>
      <c r="AG49" s="10"/>
      <c r="AH49" s="10"/>
      <c r="AI49" s="10">
        <v>1</v>
      </c>
      <c r="AJ49" s="10"/>
      <c r="AK49" s="10"/>
      <c r="AL49" s="10"/>
      <c r="AM49" s="10">
        <v>1</v>
      </c>
      <c r="AN49" s="10"/>
      <c r="AO49" s="10"/>
      <c r="AP49" s="10"/>
      <c r="AQ49" s="10"/>
      <c r="AR49" s="10"/>
      <c r="AS49" s="10">
        <v>2</v>
      </c>
      <c r="AT49" s="10"/>
      <c r="AU49" s="10"/>
      <c r="AV49" s="10" t="s">
        <v>309</v>
      </c>
      <c r="AW49" s="7"/>
    </row>
    <row r="50" spans="1:49" x14ac:dyDescent="0.2">
      <c r="A50" s="17">
        <v>49</v>
      </c>
      <c r="B50" s="10">
        <v>38.362244982272301</v>
      </c>
      <c r="C50" s="10">
        <f>-28.28388299793</f>
        <v>-28.28388299793</v>
      </c>
      <c r="D50" s="11">
        <v>42477</v>
      </c>
      <c r="E50" s="12">
        <v>0.48561342592592593</v>
      </c>
      <c r="F50" s="12"/>
      <c r="G50" s="12">
        <v>6.9444444444444447E-4</v>
      </c>
      <c r="H50" s="10" t="s">
        <v>120</v>
      </c>
      <c r="I50" s="10" t="s">
        <v>121</v>
      </c>
      <c r="J50" s="10" t="s">
        <v>121</v>
      </c>
      <c r="K50" s="10"/>
      <c r="L50" s="10"/>
      <c r="M50" s="10"/>
      <c r="N50" s="10"/>
      <c r="O50" s="10"/>
      <c r="P50" s="10">
        <v>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>
        <v>6</v>
      </c>
      <c r="AC50" s="10">
        <v>6</v>
      </c>
      <c r="AD50" s="10"/>
      <c r="AE50" s="10"/>
      <c r="AF50" s="10"/>
      <c r="AG50" s="10"/>
      <c r="AH50" s="10"/>
      <c r="AI50" s="10">
        <v>1</v>
      </c>
      <c r="AJ50" s="10"/>
      <c r="AK50" s="10"/>
      <c r="AL50" s="10"/>
      <c r="AM50" s="10">
        <v>1</v>
      </c>
      <c r="AN50" s="10"/>
      <c r="AO50" s="10"/>
      <c r="AP50" s="10"/>
      <c r="AQ50" s="10"/>
      <c r="AR50" s="10"/>
      <c r="AS50" s="10">
        <v>3</v>
      </c>
      <c r="AT50" s="10"/>
      <c r="AU50" s="10"/>
      <c r="AV50" s="10" t="s">
        <v>309</v>
      </c>
      <c r="AW50" s="7"/>
    </row>
    <row r="51" spans="1:49" x14ac:dyDescent="0.2">
      <c r="A51" s="17">
        <v>50</v>
      </c>
      <c r="B51" s="10">
        <v>38.370491014793501</v>
      </c>
      <c r="C51" s="10">
        <f>-28.3152990415692</f>
        <v>-28.315299041569201</v>
      </c>
      <c r="D51" s="11">
        <v>42549</v>
      </c>
      <c r="E51" s="12">
        <v>0.40813657407407411</v>
      </c>
      <c r="F51" s="12">
        <v>0.41438657407407403</v>
      </c>
      <c r="G51" s="12">
        <f t="shared" si="0"/>
        <v>6.2499999999999223E-3</v>
      </c>
      <c r="H51" s="10" t="s">
        <v>122</v>
      </c>
      <c r="I51" s="10" t="s">
        <v>10</v>
      </c>
      <c r="J51" s="10" t="s">
        <v>124</v>
      </c>
      <c r="K51" s="10"/>
      <c r="L51" s="10">
        <v>1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>
        <v>2</v>
      </c>
      <c r="AC51" s="10">
        <v>2</v>
      </c>
      <c r="AD51" s="10"/>
      <c r="AE51" s="10"/>
      <c r="AF51" s="10"/>
      <c r="AG51" s="10"/>
      <c r="AH51" s="10"/>
      <c r="AI51" s="10"/>
      <c r="AJ51" s="10">
        <v>1</v>
      </c>
      <c r="AK51" s="10"/>
      <c r="AL51" s="10"/>
      <c r="AM51" s="10">
        <v>1</v>
      </c>
      <c r="AN51" s="10"/>
      <c r="AO51" s="10"/>
      <c r="AP51" s="10"/>
      <c r="AQ51" s="10"/>
      <c r="AR51" s="10"/>
      <c r="AS51" s="10">
        <v>4</v>
      </c>
      <c r="AT51" s="10"/>
      <c r="AU51" s="10"/>
      <c r="AV51" s="10" t="s">
        <v>309</v>
      </c>
      <c r="AW51" s="7"/>
    </row>
    <row r="52" spans="1:49" x14ac:dyDescent="0.2">
      <c r="A52" s="17">
        <v>51</v>
      </c>
      <c r="B52" s="10">
        <v>38.341574035584898</v>
      </c>
      <c r="C52" s="10">
        <f>-28.2816959917545</f>
        <v>-28.2816959917545</v>
      </c>
      <c r="D52" s="11">
        <v>42555</v>
      </c>
      <c r="E52" s="12">
        <v>0.45968750000000003</v>
      </c>
      <c r="F52" s="12"/>
      <c r="G52" s="12">
        <v>6.9444444444444447E-4</v>
      </c>
      <c r="H52" s="10" t="s">
        <v>125</v>
      </c>
      <c r="I52" s="10" t="s">
        <v>126</v>
      </c>
      <c r="J52" s="10" t="s">
        <v>126</v>
      </c>
      <c r="K52" s="10"/>
      <c r="L52" s="10"/>
      <c r="M52" s="10"/>
      <c r="N52" s="10"/>
      <c r="O52" s="10"/>
      <c r="P52" s="10">
        <v>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>
        <v>8</v>
      </c>
      <c r="AC52" s="10">
        <v>4</v>
      </c>
      <c r="AD52" s="10">
        <v>1</v>
      </c>
      <c r="AE52" s="10">
        <v>3</v>
      </c>
      <c r="AF52" s="10"/>
      <c r="AG52" s="10"/>
      <c r="AH52" s="10"/>
      <c r="AI52" s="10">
        <v>1</v>
      </c>
      <c r="AJ52" s="10"/>
      <c r="AK52" s="10"/>
      <c r="AL52" s="10"/>
      <c r="AM52" s="10">
        <v>1</v>
      </c>
      <c r="AN52" s="10"/>
      <c r="AO52" s="10"/>
      <c r="AP52" s="10"/>
      <c r="AQ52" s="10"/>
      <c r="AR52" s="10"/>
      <c r="AS52" s="10">
        <v>2</v>
      </c>
      <c r="AT52" s="10"/>
      <c r="AU52" s="10"/>
      <c r="AV52" s="10" t="s">
        <v>309</v>
      </c>
      <c r="AW52" s="7"/>
    </row>
    <row r="53" spans="1:49" x14ac:dyDescent="0.2">
      <c r="A53" s="17">
        <v>52</v>
      </c>
      <c r="B53" s="10">
        <v>38.3364090230315</v>
      </c>
      <c r="C53" s="10">
        <f>-28.2954060193151</f>
        <v>-28.295406019315099</v>
      </c>
      <c r="D53" s="11">
        <v>42555</v>
      </c>
      <c r="E53" s="12">
        <v>0.73957175925925922</v>
      </c>
      <c r="F53" s="12"/>
      <c r="G53" s="12">
        <v>6.9444444444444447E-4</v>
      </c>
      <c r="H53" s="10" t="s">
        <v>127</v>
      </c>
      <c r="I53" s="10" t="s">
        <v>128</v>
      </c>
      <c r="J53" s="10" t="s">
        <v>128</v>
      </c>
      <c r="K53" s="10"/>
      <c r="L53" s="10">
        <v>1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>
        <v>10</v>
      </c>
      <c r="AC53" s="10">
        <v>5</v>
      </c>
      <c r="AD53" s="10">
        <v>2</v>
      </c>
      <c r="AE53" s="10">
        <v>3</v>
      </c>
      <c r="AF53" s="10"/>
      <c r="AG53" s="10"/>
      <c r="AH53" s="10"/>
      <c r="AI53" s="10">
        <v>1</v>
      </c>
      <c r="AJ53" s="10"/>
      <c r="AK53" s="10"/>
      <c r="AL53" s="10"/>
      <c r="AM53" s="10">
        <v>1</v>
      </c>
      <c r="AN53" s="10"/>
      <c r="AO53" s="10"/>
      <c r="AP53" s="10"/>
      <c r="AQ53" s="10"/>
      <c r="AR53" s="10"/>
      <c r="AS53" s="10">
        <v>3</v>
      </c>
      <c r="AT53" s="10"/>
      <c r="AU53" s="10"/>
      <c r="AV53" s="10" t="s">
        <v>309</v>
      </c>
      <c r="AW53" s="7"/>
    </row>
    <row r="54" spans="1:49" x14ac:dyDescent="0.2">
      <c r="A54" s="17">
        <v>53</v>
      </c>
      <c r="B54" s="10">
        <v>38.364581018686202</v>
      </c>
      <c r="C54" s="10">
        <f>-28.1455909833312</f>
        <v>-28.1455909833312</v>
      </c>
      <c r="D54" s="11">
        <v>42559</v>
      </c>
      <c r="E54" s="12">
        <v>0.48177083333333331</v>
      </c>
      <c r="F54" s="12"/>
      <c r="G54" s="12">
        <v>6.9444444444444447E-4</v>
      </c>
      <c r="H54" s="10" t="s">
        <v>129</v>
      </c>
      <c r="I54" s="10" t="s">
        <v>130</v>
      </c>
      <c r="J54" s="10" t="s">
        <v>130</v>
      </c>
      <c r="K54" s="10"/>
      <c r="L54" s="10">
        <v>1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>
        <v>1</v>
      </c>
      <c r="AA54" s="10"/>
      <c r="AB54" s="10">
        <v>3</v>
      </c>
      <c r="AC54" s="10">
        <v>2</v>
      </c>
      <c r="AD54" s="10"/>
      <c r="AE54" s="10">
        <v>1</v>
      </c>
      <c r="AF54" s="10"/>
      <c r="AG54" s="10"/>
      <c r="AH54" s="10"/>
      <c r="AI54" s="10">
        <v>1</v>
      </c>
      <c r="AJ54" s="10"/>
      <c r="AK54" s="10"/>
      <c r="AL54" s="10"/>
      <c r="AM54" s="10"/>
      <c r="AN54" s="10"/>
      <c r="AO54" s="10">
        <v>1</v>
      </c>
      <c r="AP54" s="10"/>
      <c r="AQ54" s="10"/>
      <c r="AR54" s="10"/>
      <c r="AS54" s="10">
        <v>3</v>
      </c>
      <c r="AT54" s="10"/>
      <c r="AU54" s="10"/>
      <c r="AV54" s="10" t="s">
        <v>309</v>
      </c>
      <c r="AW54" s="7"/>
    </row>
    <row r="55" spans="1:49" x14ac:dyDescent="0.2">
      <c r="A55" s="17">
        <v>54</v>
      </c>
      <c r="B55" s="10">
        <v>38.339898996055098</v>
      </c>
      <c r="C55" s="10">
        <f>-28.2799430005252</f>
        <v>-28.279943000525201</v>
      </c>
      <c r="D55" s="11">
        <v>42562</v>
      </c>
      <c r="E55" s="12">
        <v>0.70807870370370374</v>
      </c>
      <c r="F55" s="12">
        <v>0.70988425925925924</v>
      </c>
      <c r="G55" s="12">
        <f t="shared" si="0"/>
        <v>1.8055555555555047E-3</v>
      </c>
      <c r="H55" s="10" t="s">
        <v>131</v>
      </c>
      <c r="I55" s="10" t="s">
        <v>10</v>
      </c>
      <c r="J55" s="10" t="s">
        <v>133</v>
      </c>
      <c r="K55" s="10"/>
      <c r="L55" s="10"/>
      <c r="M55" s="10"/>
      <c r="N55" s="10"/>
      <c r="O55" s="10">
        <v>1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>
        <v>25</v>
      </c>
      <c r="AC55" s="10">
        <v>15</v>
      </c>
      <c r="AD55" s="10">
        <v>5</v>
      </c>
      <c r="AE55" s="10">
        <v>5</v>
      </c>
      <c r="AF55" s="10"/>
      <c r="AG55" s="10"/>
      <c r="AH55" s="10"/>
      <c r="AI55" s="10">
        <v>1</v>
      </c>
      <c r="AJ55" s="10"/>
      <c r="AK55" s="10"/>
      <c r="AL55" s="10"/>
      <c r="AM55" s="10"/>
      <c r="AN55" s="10">
        <v>1</v>
      </c>
      <c r="AO55" s="10"/>
      <c r="AP55" s="10"/>
      <c r="AQ55" s="10"/>
      <c r="AR55" s="10"/>
      <c r="AS55" s="10">
        <v>5</v>
      </c>
      <c r="AT55" s="10"/>
      <c r="AU55" s="10"/>
      <c r="AV55" s="10" t="s">
        <v>309</v>
      </c>
      <c r="AW55" s="7"/>
    </row>
    <row r="56" spans="1:49" x14ac:dyDescent="0.2">
      <c r="A56" s="17">
        <v>55</v>
      </c>
      <c r="B56" s="10">
        <v>38.342795027419903</v>
      </c>
      <c r="C56" s="10">
        <f>-28.1475459784269</f>
        <v>-28.147545978426901</v>
      </c>
      <c r="D56" s="11">
        <v>42565</v>
      </c>
      <c r="E56" s="12">
        <v>0.51158564814814811</v>
      </c>
      <c r="F56" s="12">
        <v>0.51479166666666665</v>
      </c>
      <c r="G56" s="12">
        <f t="shared" si="0"/>
        <v>3.2060185185185386E-3</v>
      </c>
      <c r="H56" s="10" t="s">
        <v>134</v>
      </c>
      <c r="I56" s="10" t="s">
        <v>10</v>
      </c>
      <c r="J56" s="10" t="s">
        <v>136</v>
      </c>
      <c r="K56" s="10"/>
      <c r="L56" s="10">
        <v>1</v>
      </c>
      <c r="M56" s="10"/>
      <c r="N56" s="10"/>
      <c r="O56" s="10">
        <v>1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>
        <v>1</v>
      </c>
      <c r="AA56" s="10"/>
      <c r="AB56" s="10">
        <v>10</v>
      </c>
      <c r="AC56" s="10">
        <v>7</v>
      </c>
      <c r="AD56" s="10">
        <v>3</v>
      </c>
      <c r="AE56" s="10"/>
      <c r="AF56" s="10"/>
      <c r="AG56" s="10"/>
      <c r="AH56" s="10"/>
      <c r="AI56" s="10">
        <v>1</v>
      </c>
      <c r="AJ56" s="10"/>
      <c r="AK56" s="10"/>
      <c r="AL56" s="10"/>
      <c r="AM56" s="10">
        <v>1</v>
      </c>
      <c r="AN56" s="10"/>
      <c r="AO56" s="10"/>
      <c r="AP56" s="10"/>
      <c r="AQ56" s="10"/>
      <c r="AR56" s="10"/>
      <c r="AS56" s="10">
        <v>4</v>
      </c>
      <c r="AT56" s="10"/>
      <c r="AU56" s="10"/>
      <c r="AV56" s="10" t="s">
        <v>309</v>
      </c>
      <c r="AW56" s="7"/>
    </row>
    <row r="57" spans="1:49" x14ac:dyDescent="0.2">
      <c r="A57" s="17">
        <v>56</v>
      </c>
      <c r="B57" s="10">
        <v>38.280793000012601</v>
      </c>
      <c r="C57" s="10">
        <f>-28.3163000084459</f>
        <v>-28.3163000084459</v>
      </c>
      <c r="D57" s="11">
        <v>42565</v>
      </c>
      <c r="E57" s="12">
        <v>0.64962962962962967</v>
      </c>
      <c r="F57" s="12"/>
      <c r="G57" s="12">
        <v>6.9444444444444447E-4</v>
      </c>
      <c r="H57" s="10" t="s">
        <v>137</v>
      </c>
      <c r="I57" s="10" t="s">
        <v>138</v>
      </c>
      <c r="J57" s="10" t="s">
        <v>138</v>
      </c>
      <c r="K57" s="10"/>
      <c r="L57" s="10">
        <v>1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>
        <v>10</v>
      </c>
      <c r="AC57" s="10">
        <v>7</v>
      </c>
      <c r="AD57" s="10">
        <v>3</v>
      </c>
      <c r="AE57" s="10"/>
      <c r="AF57" s="10"/>
      <c r="AG57" s="10"/>
      <c r="AH57" s="10"/>
      <c r="AI57" s="10">
        <v>1</v>
      </c>
      <c r="AJ57" s="10"/>
      <c r="AK57" s="10"/>
      <c r="AL57" s="10"/>
      <c r="AM57" s="10">
        <v>1</v>
      </c>
      <c r="AN57" s="10"/>
      <c r="AO57" s="10"/>
      <c r="AP57" s="10"/>
      <c r="AQ57" s="10"/>
      <c r="AR57" s="10"/>
      <c r="AS57" s="10">
        <v>4</v>
      </c>
      <c r="AT57" s="10"/>
      <c r="AU57" s="10"/>
      <c r="AV57" s="10" t="s">
        <v>309</v>
      </c>
      <c r="AW57" s="7"/>
    </row>
    <row r="58" spans="1:49" x14ac:dyDescent="0.2">
      <c r="A58" s="17">
        <v>57</v>
      </c>
      <c r="B58" s="10">
        <v>38.234320962801498</v>
      </c>
      <c r="C58" s="10">
        <f>-28.2905470300465</f>
        <v>-28.290547030046501</v>
      </c>
      <c r="D58" s="11">
        <v>42565</v>
      </c>
      <c r="E58" s="12">
        <v>0.70892361111111113</v>
      </c>
      <c r="F58" s="12">
        <v>0.71084490740740736</v>
      </c>
      <c r="G58" s="12">
        <f t="shared" si="0"/>
        <v>1.9212962962962266E-3</v>
      </c>
      <c r="H58" s="10" t="s">
        <v>139</v>
      </c>
      <c r="I58" s="10" t="s">
        <v>10</v>
      </c>
      <c r="J58" s="10" t="s">
        <v>141</v>
      </c>
      <c r="K58" s="10"/>
      <c r="L58" s="10">
        <v>1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>
        <v>6</v>
      </c>
      <c r="AC58" s="10">
        <v>3</v>
      </c>
      <c r="AD58" s="10">
        <v>3</v>
      </c>
      <c r="AE58" s="10"/>
      <c r="AF58" s="10"/>
      <c r="AG58" s="10"/>
      <c r="AH58" s="10"/>
      <c r="AI58" s="10">
        <v>1</v>
      </c>
      <c r="AJ58" s="10"/>
      <c r="AK58" s="10"/>
      <c r="AL58" s="10"/>
      <c r="AM58" s="10">
        <v>1</v>
      </c>
      <c r="AN58" s="10"/>
      <c r="AO58" s="10"/>
      <c r="AP58" s="10"/>
      <c r="AQ58" s="10"/>
      <c r="AR58" s="10"/>
      <c r="AS58" s="10">
        <v>4</v>
      </c>
      <c r="AT58" s="10"/>
      <c r="AU58" s="10"/>
      <c r="AV58" s="10" t="s">
        <v>309</v>
      </c>
      <c r="AW58" s="7"/>
    </row>
    <row r="59" spans="1:49" x14ac:dyDescent="0.2">
      <c r="A59" s="17">
        <v>58</v>
      </c>
      <c r="B59" s="10">
        <v>38.379631983116198</v>
      </c>
      <c r="C59" s="10">
        <f>-28.1353239901363</f>
        <v>-28.1353239901363</v>
      </c>
      <c r="D59" s="11">
        <v>42569</v>
      </c>
      <c r="E59" s="12">
        <v>0.5433796296296296</v>
      </c>
      <c r="F59" s="12"/>
      <c r="G59" s="12">
        <v>6.9444444444444447E-4</v>
      </c>
      <c r="H59" s="10" t="s">
        <v>142</v>
      </c>
      <c r="I59" s="10" t="s">
        <v>143</v>
      </c>
      <c r="J59" s="10" t="s">
        <v>143</v>
      </c>
      <c r="K59" s="10"/>
      <c r="L59" s="10">
        <v>1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>
        <v>2</v>
      </c>
      <c r="AC59" s="10">
        <v>2</v>
      </c>
      <c r="AD59" s="10"/>
      <c r="AE59" s="10"/>
      <c r="AF59" s="10"/>
      <c r="AG59" s="10"/>
      <c r="AH59" s="10"/>
      <c r="AI59" s="10">
        <v>1</v>
      </c>
      <c r="AJ59" s="10"/>
      <c r="AK59" s="10"/>
      <c r="AL59" s="10"/>
      <c r="AM59" s="10">
        <v>1</v>
      </c>
      <c r="AN59" s="10"/>
      <c r="AO59" s="10"/>
      <c r="AP59" s="10"/>
      <c r="AQ59" s="10"/>
      <c r="AR59" s="10"/>
      <c r="AS59" s="10">
        <v>4</v>
      </c>
      <c r="AT59" s="10"/>
      <c r="AU59" s="10"/>
      <c r="AV59" s="10" t="s">
        <v>309</v>
      </c>
      <c r="AW59" s="7"/>
    </row>
    <row r="60" spans="1:49" x14ac:dyDescent="0.2">
      <c r="A60" s="17">
        <v>59</v>
      </c>
      <c r="B60" s="10">
        <v>38.3781560137867</v>
      </c>
      <c r="C60" s="10">
        <f>-28.1474700383841</f>
        <v>-28.1474700383841</v>
      </c>
      <c r="D60" s="11">
        <v>42569</v>
      </c>
      <c r="E60" s="12">
        <v>0.66346064814814809</v>
      </c>
      <c r="F60" s="12"/>
      <c r="G60" s="12">
        <v>6.9444444444444447E-4</v>
      </c>
      <c r="H60" s="10" t="s">
        <v>144</v>
      </c>
      <c r="I60" s="10" t="s">
        <v>111</v>
      </c>
      <c r="J60" s="10" t="s">
        <v>111</v>
      </c>
      <c r="K60" s="10"/>
      <c r="L60" s="10">
        <v>1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>
        <v>3</v>
      </c>
      <c r="AC60" s="10">
        <v>3</v>
      </c>
      <c r="AD60" s="10"/>
      <c r="AE60" s="10"/>
      <c r="AF60" s="10"/>
      <c r="AG60" s="10"/>
      <c r="AH60" s="10"/>
      <c r="AI60" s="10">
        <v>1</v>
      </c>
      <c r="AJ60" s="10"/>
      <c r="AK60" s="10"/>
      <c r="AL60" s="10"/>
      <c r="AM60" s="10">
        <v>1</v>
      </c>
      <c r="AN60" s="10"/>
      <c r="AO60" s="10"/>
      <c r="AP60" s="10"/>
      <c r="AQ60" s="10"/>
      <c r="AR60" s="10"/>
      <c r="AS60" s="10">
        <v>3</v>
      </c>
      <c r="AT60" s="10"/>
      <c r="AU60" s="10"/>
      <c r="AV60" s="10" t="s">
        <v>309</v>
      </c>
      <c r="AW60" s="7"/>
    </row>
    <row r="61" spans="1:49" x14ac:dyDescent="0.2">
      <c r="A61" s="17">
        <v>60</v>
      </c>
      <c r="B61" s="10">
        <v>38.328913003206203</v>
      </c>
      <c r="C61" s="10">
        <f>-28.055007001385</f>
        <v>-28.055007001385</v>
      </c>
      <c r="D61" s="11">
        <v>42573</v>
      </c>
      <c r="E61" s="12">
        <v>0.65098379629629632</v>
      </c>
      <c r="F61" s="12"/>
      <c r="G61" s="12">
        <v>6.9444444444444447E-4</v>
      </c>
      <c r="H61" s="10" t="s">
        <v>145</v>
      </c>
      <c r="I61" s="10" t="s">
        <v>146</v>
      </c>
      <c r="J61" s="10" t="s">
        <v>146</v>
      </c>
      <c r="K61" s="10"/>
      <c r="L61" s="10">
        <v>1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>
        <v>3</v>
      </c>
      <c r="AC61" s="10">
        <v>3</v>
      </c>
      <c r="AD61" s="10"/>
      <c r="AE61" s="10"/>
      <c r="AF61" s="10"/>
      <c r="AG61" s="10"/>
      <c r="AH61" s="10"/>
      <c r="AI61" s="10">
        <v>1</v>
      </c>
      <c r="AJ61" s="10"/>
      <c r="AK61" s="10"/>
      <c r="AL61" s="10"/>
      <c r="AM61" s="10">
        <v>1</v>
      </c>
      <c r="AN61" s="10"/>
      <c r="AO61" s="10"/>
      <c r="AP61" s="10"/>
      <c r="AQ61" s="10"/>
      <c r="AR61" s="10"/>
      <c r="AS61" s="10">
        <v>3</v>
      </c>
      <c r="AT61" s="10"/>
      <c r="AU61" s="10"/>
      <c r="AV61" s="10" t="s">
        <v>309</v>
      </c>
      <c r="AW61" s="7"/>
    </row>
    <row r="62" spans="1:49" x14ac:dyDescent="0.2">
      <c r="A62" s="17">
        <v>61</v>
      </c>
      <c r="B62" s="10">
        <v>38.358255028724599</v>
      </c>
      <c r="C62" s="10">
        <f>-28.1413420289754</f>
        <v>-28.141342028975401</v>
      </c>
      <c r="D62" s="11">
        <v>42575</v>
      </c>
      <c r="E62" s="12">
        <v>0.43922453703703707</v>
      </c>
      <c r="F62" s="12"/>
      <c r="G62" s="12">
        <v>6.9444444444444447E-4</v>
      </c>
      <c r="H62" s="10" t="s">
        <v>147</v>
      </c>
      <c r="I62" s="10" t="s">
        <v>148</v>
      </c>
      <c r="J62" s="10" t="s">
        <v>148</v>
      </c>
      <c r="K62" s="10"/>
      <c r="L62" s="10"/>
      <c r="M62" s="10"/>
      <c r="N62" s="10"/>
      <c r="O62" s="10"/>
      <c r="P62" s="10">
        <v>1</v>
      </c>
      <c r="Q62" s="10"/>
      <c r="R62" s="10"/>
      <c r="S62" s="10"/>
      <c r="T62" s="10"/>
      <c r="U62" s="10"/>
      <c r="V62" s="10"/>
      <c r="W62" s="10"/>
      <c r="X62" s="10"/>
      <c r="Y62" s="10"/>
      <c r="Z62" s="10">
        <v>1</v>
      </c>
      <c r="AA62" s="10"/>
      <c r="AB62" s="10">
        <v>5</v>
      </c>
      <c r="AC62" s="10">
        <v>3</v>
      </c>
      <c r="AD62" s="10">
        <v>2</v>
      </c>
      <c r="AE62" s="10"/>
      <c r="AF62" s="10"/>
      <c r="AG62" s="10"/>
      <c r="AH62" s="10"/>
      <c r="AI62" s="10">
        <v>1</v>
      </c>
      <c r="AJ62" s="10"/>
      <c r="AK62" s="10"/>
      <c r="AL62" s="10"/>
      <c r="AM62" s="10">
        <v>1</v>
      </c>
      <c r="AN62" s="10"/>
      <c r="AO62" s="10"/>
      <c r="AP62" s="10"/>
      <c r="AQ62" s="10"/>
      <c r="AR62" s="10"/>
      <c r="AS62" s="10">
        <v>3</v>
      </c>
      <c r="AT62" s="10"/>
      <c r="AU62" s="10"/>
      <c r="AV62" s="10" t="s">
        <v>309</v>
      </c>
      <c r="AW62" s="7"/>
    </row>
    <row r="63" spans="1:49" x14ac:dyDescent="0.2">
      <c r="A63" s="17">
        <v>62</v>
      </c>
      <c r="B63" s="10">
        <v>38.290528999641502</v>
      </c>
      <c r="C63" s="10">
        <f>-28.3277620095759</f>
        <v>-28.327762009575899</v>
      </c>
      <c r="D63" s="11">
        <v>42576</v>
      </c>
      <c r="E63" s="12">
        <v>0.63545138888888886</v>
      </c>
      <c r="F63" s="12">
        <v>0.64124999999999999</v>
      </c>
      <c r="G63" s="12">
        <f t="shared" si="0"/>
        <v>5.7986111111111294E-3</v>
      </c>
      <c r="H63" s="10" t="s">
        <v>149</v>
      </c>
      <c r="I63" s="10" t="s">
        <v>10</v>
      </c>
      <c r="J63" s="10" t="s">
        <v>151</v>
      </c>
      <c r="K63" s="10"/>
      <c r="L63" s="10"/>
      <c r="M63" s="10"/>
      <c r="N63" s="10"/>
      <c r="O63" s="10">
        <v>1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>
        <v>1</v>
      </c>
      <c r="AA63" s="10"/>
      <c r="AB63" s="10">
        <v>8</v>
      </c>
      <c r="AC63" s="10">
        <v>4</v>
      </c>
      <c r="AD63" s="10">
        <v>2</v>
      </c>
      <c r="AE63" s="10">
        <v>2</v>
      </c>
      <c r="AF63" s="10"/>
      <c r="AG63" s="10"/>
      <c r="AH63" s="10"/>
      <c r="AI63" s="10">
        <v>1</v>
      </c>
      <c r="AJ63" s="10"/>
      <c r="AK63" s="10"/>
      <c r="AL63" s="10">
        <v>1</v>
      </c>
      <c r="AM63" s="10"/>
      <c r="AN63" s="10"/>
      <c r="AO63" s="10"/>
      <c r="AP63" s="10"/>
      <c r="AQ63" s="10"/>
      <c r="AR63" s="10"/>
      <c r="AS63" s="10">
        <v>2</v>
      </c>
      <c r="AT63" s="10"/>
      <c r="AU63" s="10"/>
      <c r="AV63" s="10" t="s">
        <v>309</v>
      </c>
      <c r="AW63" s="7"/>
    </row>
    <row r="64" spans="1:49" x14ac:dyDescent="0.2">
      <c r="A64" s="17">
        <v>63</v>
      </c>
      <c r="B64" s="10">
        <v>38.336452022194798</v>
      </c>
      <c r="C64" s="10">
        <f>-28.0889650247991</f>
        <v>-28.088965024799101</v>
      </c>
      <c r="D64" s="11">
        <v>42582</v>
      </c>
      <c r="E64" s="12">
        <v>0.43703703703703706</v>
      </c>
      <c r="F64" s="12"/>
      <c r="G64" s="12">
        <v>6.9444444444444447E-4</v>
      </c>
      <c r="H64" s="10" t="s">
        <v>152</v>
      </c>
      <c r="I64" s="10" t="s">
        <v>153</v>
      </c>
      <c r="J64" s="10" t="s">
        <v>153</v>
      </c>
      <c r="K64" s="10"/>
      <c r="L64" s="10">
        <v>1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>
        <v>2</v>
      </c>
      <c r="AC64" s="10">
        <v>2</v>
      </c>
      <c r="AD64" s="10"/>
      <c r="AE64" s="10"/>
      <c r="AF64" s="10"/>
      <c r="AG64" s="10"/>
      <c r="AH64" s="10"/>
      <c r="AI64" s="10"/>
      <c r="AJ64" s="10">
        <v>1</v>
      </c>
      <c r="AK64" s="10"/>
      <c r="AL64" s="10">
        <v>1</v>
      </c>
      <c r="AM64" s="10"/>
      <c r="AN64" s="10"/>
      <c r="AO64" s="10"/>
      <c r="AP64" s="10"/>
      <c r="AQ64" s="10"/>
      <c r="AR64" s="10"/>
      <c r="AS64" s="10">
        <v>1</v>
      </c>
      <c r="AT64" s="10"/>
      <c r="AU64" s="10"/>
      <c r="AV64" s="10" t="s">
        <v>309</v>
      </c>
      <c r="AW64" s="7"/>
    </row>
    <row r="65" spans="1:49" x14ac:dyDescent="0.2">
      <c r="A65" s="17">
        <v>64</v>
      </c>
      <c r="B65" s="10">
        <v>38.334744041785498</v>
      </c>
      <c r="C65" s="10">
        <f>-28.2903180364519</f>
        <v>-28.2903180364519</v>
      </c>
      <c r="D65" s="11">
        <v>42587</v>
      </c>
      <c r="E65" s="12">
        <v>0.4571412037037037</v>
      </c>
      <c r="F65" s="12"/>
      <c r="G65" s="12">
        <v>6.9444444444444447E-4</v>
      </c>
      <c r="H65" s="10" t="s">
        <v>154</v>
      </c>
      <c r="I65" s="10" t="s">
        <v>155</v>
      </c>
      <c r="J65" s="10" t="s">
        <v>155</v>
      </c>
      <c r="K65" s="10"/>
      <c r="L65" s="10">
        <v>1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>
        <v>1</v>
      </c>
      <c r="AA65" s="10"/>
      <c r="AB65" s="10">
        <v>10</v>
      </c>
      <c r="AC65" s="10">
        <v>8</v>
      </c>
      <c r="AD65" s="10">
        <v>2</v>
      </c>
      <c r="AE65" s="10"/>
      <c r="AF65" s="10"/>
      <c r="AG65" s="10"/>
      <c r="AH65" s="10"/>
      <c r="AI65" s="10"/>
      <c r="AJ65" s="10">
        <v>1</v>
      </c>
      <c r="AK65" s="10"/>
      <c r="AL65" s="10"/>
      <c r="AM65" s="10">
        <v>1</v>
      </c>
      <c r="AN65" s="10"/>
      <c r="AO65" s="10"/>
      <c r="AP65" s="10"/>
      <c r="AQ65" s="10"/>
      <c r="AR65" s="10"/>
      <c r="AS65" s="10">
        <v>2</v>
      </c>
      <c r="AT65" s="10"/>
      <c r="AU65" s="10"/>
      <c r="AV65" s="10" t="s">
        <v>309</v>
      </c>
      <c r="AW65" s="7"/>
    </row>
    <row r="66" spans="1:49" x14ac:dyDescent="0.2">
      <c r="A66" s="17">
        <v>65</v>
      </c>
      <c r="B66" s="10">
        <v>38.382992958649901</v>
      </c>
      <c r="C66" s="10">
        <f>-28.5032120067626</f>
        <v>-28.503212006762599</v>
      </c>
      <c r="D66" s="11">
        <v>42618</v>
      </c>
      <c r="E66" s="12">
        <v>0.77284722222222213</v>
      </c>
      <c r="F66" s="12">
        <v>0.77386574074074066</v>
      </c>
      <c r="G66" s="12">
        <f t="shared" si="0"/>
        <v>1.0185185185185297E-3</v>
      </c>
      <c r="H66" s="10" t="s">
        <v>156</v>
      </c>
      <c r="I66" s="10" t="s">
        <v>10</v>
      </c>
      <c r="J66" s="10" t="s">
        <v>158</v>
      </c>
      <c r="K66" s="10"/>
      <c r="L66" s="10"/>
      <c r="M66" s="10"/>
      <c r="N66" s="10"/>
      <c r="O66" s="10"/>
      <c r="P66" s="10">
        <v>1</v>
      </c>
      <c r="Q66" s="10"/>
      <c r="R66" s="10"/>
      <c r="S66" s="10"/>
      <c r="T66" s="10"/>
      <c r="U66" s="10"/>
      <c r="V66" s="10"/>
      <c r="W66" s="10"/>
      <c r="X66" s="10"/>
      <c r="Y66" s="10"/>
      <c r="Z66" s="10">
        <v>1</v>
      </c>
      <c r="AA66" s="10"/>
      <c r="AB66" s="10">
        <v>5</v>
      </c>
      <c r="AC66" s="10">
        <v>5</v>
      </c>
      <c r="AD66" s="10"/>
      <c r="AE66" s="10"/>
      <c r="AF66" s="10"/>
      <c r="AG66" s="10"/>
      <c r="AH66" s="10"/>
      <c r="AI66" s="10">
        <v>1</v>
      </c>
      <c r="AJ66" s="10"/>
      <c r="AK66" s="10"/>
      <c r="AL66" s="10"/>
      <c r="AM66" s="10"/>
      <c r="AN66" s="10"/>
      <c r="AO66" s="10">
        <v>1</v>
      </c>
      <c r="AP66" s="10"/>
      <c r="AQ66" s="10"/>
      <c r="AR66" s="10"/>
      <c r="AS66" s="10">
        <v>4</v>
      </c>
      <c r="AT66" s="10"/>
      <c r="AU66" s="10"/>
      <c r="AV66" s="10" t="s">
        <v>309</v>
      </c>
      <c r="AW66" s="7"/>
    </row>
    <row r="67" spans="1:49" x14ac:dyDescent="0.2">
      <c r="A67" s="17">
        <v>66</v>
      </c>
      <c r="B67" s="10">
        <v>38.3572010044008</v>
      </c>
      <c r="C67" s="10">
        <f>-28.3724529761821</f>
        <v>-28.3724529761821</v>
      </c>
      <c r="D67" s="11">
        <v>42932</v>
      </c>
      <c r="E67" s="12">
        <v>0.40834490740740742</v>
      </c>
      <c r="F67" s="12"/>
      <c r="G67" s="12">
        <v>6.9444444444444447E-4</v>
      </c>
      <c r="H67" s="10" t="s">
        <v>159</v>
      </c>
      <c r="I67" s="10" t="s">
        <v>160</v>
      </c>
      <c r="J67" s="10" t="s">
        <v>160</v>
      </c>
      <c r="K67" s="10"/>
      <c r="L67" s="10"/>
      <c r="M67" s="10"/>
      <c r="N67" s="10"/>
      <c r="O67" s="10">
        <v>1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>
        <v>10</v>
      </c>
      <c r="AC67" s="10">
        <v>8</v>
      </c>
      <c r="AD67" s="10">
        <v>2</v>
      </c>
      <c r="AE67" s="10"/>
      <c r="AF67" s="10"/>
      <c r="AG67" s="10"/>
      <c r="AH67" s="10"/>
      <c r="AI67" s="10">
        <v>1</v>
      </c>
      <c r="AJ67" s="10"/>
      <c r="AK67" s="10"/>
      <c r="AL67" s="10"/>
      <c r="AM67" s="10">
        <v>1</v>
      </c>
      <c r="AN67" s="10"/>
      <c r="AO67" s="10"/>
      <c r="AP67" s="10"/>
      <c r="AQ67" s="10"/>
      <c r="AR67" s="10"/>
      <c r="AS67" s="10">
        <v>4</v>
      </c>
      <c r="AT67" s="10"/>
      <c r="AU67" s="10"/>
      <c r="AV67" s="10" t="s">
        <v>309</v>
      </c>
      <c r="AW67" s="7"/>
    </row>
    <row r="68" spans="1:49" x14ac:dyDescent="0.2">
      <c r="A68" s="17">
        <v>67</v>
      </c>
      <c r="B68" s="10">
        <v>38.363541997969101</v>
      </c>
      <c r="C68" s="10">
        <f>-28.445591032505</f>
        <v>-28.445591032505</v>
      </c>
      <c r="D68" s="11">
        <v>42938</v>
      </c>
      <c r="E68" s="12">
        <v>0.46995370370370365</v>
      </c>
      <c r="F68" s="12"/>
      <c r="G68" s="12">
        <v>6.9444444444444447E-4</v>
      </c>
      <c r="H68" s="10" t="s">
        <v>161</v>
      </c>
      <c r="I68" s="10" t="s">
        <v>162</v>
      </c>
      <c r="J68" s="10" t="s">
        <v>162</v>
      </c>
      <c r="K68" s="10"/>
      <c r="L68" s="10"/>
      <c r="M68" s="10"/>
      <c r="N68" s="10"/>
      <c r="O68" s="10"/>
      <c r="P68" s="10">
        <v>1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>
        <v>10</v>
      </c>
      <c r="AC68" s="10">
        <v>6</v>
      </c>
      <c r="AD68" s="10">
        <v>1</v>
      </c>
      <c r="AE68" s="10">
        <v>3</v>
      </c>
      <c r="AF68" s="10"/>
      <c r="AG68" s="10"/>
      <c r="AH68" s="10"/>
      <c r="AI68" s="10">
        <v>1</v>
      </c>
      <c r="AJ68" s="10"/>
      <c r="AK68" s="10"/>
      <c r="AL68" s="10"/>
      <c r="AM68" s="10">
        <v>1</v>
      </c>
      <c r="AN68" s="10"/>
      <c r="AO68" s="10"/>
      <c r="AP68" s="10"/>
      <c r="AQ68" s="10"/>
      <c r="AR68" s="10"/>
      <c r="AS68" s="10">
        <v>1</v>
      </c>
      <c r="AT68" s="10"/>
      <c r="AU68" s="10"/>
      <c r="AV68" s="10" t="s">
        <v>309</v>
      </c>
      <c r="AW68" s="7"/>
    </row>
    <row r="69" spans="1:49" x14ac:dyDescent="0.2">
      <c r="A69" s="17">
        <v>68</v>
      </c>
      <c r="B69" s="10">
        <v>38.385120034217799</v>
      </c>
      <c r="C69" s="10">
        <f>-28.2878889609128</f>
        <v>-28.287888960912799</v>
      </c>
      <c r="D69" s="11">
        <v>42959</v>
      </c>
      <c r="E69" s="12">
        <v>0.3807638888888889</v>
      </c>
      <c r="F69" s="12"/>
      <c r="G69" s="12">
        <v>6.9444444444444447E-4</v>
      </c>
      <c r="H69" s="10" t="s">
        <v>163</v>
      </c>
      <c r="I69" s="10" t="s">
        <v>164</v>
      </c>
      <c r="J69" s="10" t="s">
        <v>164</v>
      </c>
      <c r="K69" s="10"/>
      <c r="L69" s="10"/>
      <c r="M69" s="10"/>
      <c r="N69" s="10"/>
      <c r="O69" s="10">
        <v>1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>
        <v>1</v>
      </c>
      <c r="AA69" s="10"/>
      <c r="AB69" s="10">
        <v>5</v>
      </c>
      <c r="AC69" s="10">
        <v>5</v>
      </c>
      <c r="AD69" s="10"/>
      <c r="AE69" s="10"/>
      <c r="AF69" s="10"/>
      <c r="AG69" s="10"/>
      <c r="AH69" s="10"/>
      <c r="AI69" s="10">
        <v>1</v>
      </c>
      <c r="AJ69" s="10"/>
      <c r="AK69" s="10"/>
      <c r="AL69" s="10"/>
      <c r="AM69" s="10">
        <v>1</v>
      </c>
      <c r="AN69" s="10"/>
      <c r="AO69" s="10"/>
      <c r="AP69" s="10"/>
      <c r="AQ69" s="10"/>
      <c r="AR69" s="10"/>
      <c r="AS69" s="10">
        <v>2</v>
      </c>
      <c r="AT69" s="10"/>
      <c r="AU69" s="10"/>
      <c r="AV69" s="10" t="s">
        <v>309</v>
      </c>
      <c r="AW69" s="7"/>
    </row>
    <row r="70" spans="1:49" x14ac:dyDescent="0.2">
      <c r="A70" s="17">
        <v>69</v>
      </c>
      <c r="B70" s="10">
        <v>38.386848969384999</v>
      </c>
      <c r="C70" s="10">
        <f>-28.3811470214277</f>
        <v>-28.381147021427701</v>
      </c>
      <c r="D70" s="11">
        <v>42965</v>
      </c>
      <c r="E70" s="12">
        <v>0.44225694444444441</v>
      </c>
      <c r="F70" s="12"/>
      <c r="G70" s="12">
        <v>6.9444444444444447E-4</v>
      </c>
      <c r="H70" s="10" t="s">
        <v>165</v>
      </c>
      <c r="I70" s="10" t="s">
        <v>166</v>
      </c>
      <c r="J70" s="10" t="s">
        <v>166</v>
      </c>
      <c r="K70" s="10"/>
      <c r="L70" s="10"/>
      <c r="M70" s="10"/>
      <c r="N70" s="10"/>
      <c r="O70" s="10">
        <v>1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>
        <v>4</v>
      </c>
      <c r="AC70" s="10">
        <v>4</v>
      </c>
      <c r="AD70" s="10"/>
      <c r="AE70" s="10"/>
      <c r="AF70" s="10"/>
      <c r="AG70" s="10"/>
      <c r="AH70" s="10"/>
      <c r="AI70" s="10"/>
      <c r="AJ70" s="10">
        <v>1</v>
      </c>
      <c r="AK70" s="10"/>
      <c r="AL70" s="10"/>
      <c r="AM70" s="10">
        <v>1</v>
      </c>
      <c r="AN70" s="10"/>
      <c r="AO70" s="10"/>
      <c r="AP70" s="10"/>
      <c r="AQ70" s="10"/>
      <c r="AR70" s="10"/>
      <c r="AS70" s="10">
        <v>1</v>
      </c>
      <c r="AT70" s="10"/>
      <c r="AU70" s="10"/>
      <c r="AV70" s="10" t="s">
        <v>309</v>
      </c>
      <c r="AW70" s="7"/>
    </row>
    <row r="71" spans="1:49" x14ac:dyDescent="0.2">
      <c r="A71" s="17">
        <v>70</v>
      </c>
      <c r="B71" s="10">
        <v>38.34242798388</v>
      </c>
      <c r="C71" s="10">
        <f>-28.1918760202825</f>
        <v>-28.1918760202825</v>
      </c>
      <c r="D71" s="11">
        <v>43279</v>
      </c>
      <c r="E71" s="12">
        <v>0.63442129629629629</v>
      </c>
      <c r="F71" s="12">
        <v>0.63672453703703702</v>
      </c>
      <c r="G71" s="12">
        <f t="shared" ref="G71:G92" si="1">F71-E71</f>
        <v>2.3032407407407307E-3</v>
      </c>
      <c r="H71" s="10" t="s">
        <v>167</v>
      </c>
      <c r="I71" s="10" t="s">
        <v>10</v>
      </c>
      <c r="J71" s="10" t="s">
        <v>169</v>
      </c>
      <c r="K71" s="10"/>
      <c r="L71" s="10"/>
      <c r="M71" s="10"/>
      <c r="N71" s="10">
        <v>1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>
        <v>8</v>
      </c>
      <c r="AC71" s="10">
        <v>8</v>
      </c>
      <c r="AD71" s="10"/>
      <c r="AE71" s="10"/>
      <c r="AF71" s="10"/>
      <c r="AG71" s="10"/>
      <c r="AH71" s="10"/>
      <c r="AI71" s="10">
        <v>1</v>
      </c>
      <c r="AJ71" s="10"/>
      <c r="AK71" s="10"/>
      <c r="AL71" s="10"/>
      <c r="AM71" s="10"/>
      <c r="AN71" s="10">
        <v>1</v>
      </c>
      <c r="AO71" s="10"/>
      <c r="AP71" s="10"/>
      <c r="AQ71" s="10"/>
      <c r="AR71" s="10"/>
      <c r="AS71" s="10">
        <v>2</v>
      </c>
      <c r="AT71" s="10"/>
      <c r="AU71" s="10"/>
      <c r="AV71" s="10" t="s">
        <v>309</v>
      </c>
      <c r="AW71" s="7"/>
    </row>
    <row r="72" spans="1:49" x14ac:dyDescent="0.2">
      <c r="A72" s="17">
        <v>71</v>
      </c>
      <c r="B72" s="10">
        <v>38.370267972350099</v>
      </c>
      <c r="C72" s="10">
        <f>-28.3455400262027</f>
        <v>-28.345540026202698</v>
      </c>
      <c r="D72" s="11">
        <v>43285</v>
      </c>
      <c r="E72" s="12">
        <v>0.65997685185185184</v>
      </c>
      <c r="F72" s="12"/>
      <c r="G72" s="12">
        <v>6.9444444444444447E-4</v>
      </c>
      <c r="H72" s="10" t="s">
        <v>170</v>
      </c>
      <c r="I72" s="10" t="s">
        <v>171</v>
      </c>
      <c r="J72" s="10" t="s">
        <v>171</v>
      </c>
      <c r="K72" s="10"/>
      <c r="L72" s="10"/>
      <c r="M72" s="10"/>
      <c r="N72" s="10"/>
      <c r="O72" s="10">
        <v>1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>
        <v>2</v>
      </c>
      <c r="AC72" s="10">
        <v>2</v>
      </c>
      <c r="AD72" s="10"/>
      <c r="AE72" s="10"/>
      <c r="AF72" s="10"/>
      <c r="AG72" s="10"/>
      <c r="AH72" s="10"/>
      <c r="AI72" s="10">
        <v>1</v>
      </c>
      <c r="AJ72" s="10"/>
      <c r="AK72" s="10"/>
      <c r="AL72" s="10"/>
      <c r="AM72" s="10"/>
      <c r="AN72" s="10">
        <v>1</v>
      </c>
      <c r="AO72" s="10"/>
      <c r="AP72" s="10"/>
      <c r="AQ72" s="10"/>
      <c r="AR72" s="10"/>
      <c r="AS72" s="10">
        <v>2</v>
      </c>
      <c r="AT72" s="10"/>
      <c r="AU72" s="10"/>
      <c r="AV72" s="10" t="s">
        <v>309</v>
      </c>
      <c r="AW72" s="7"/>
    </row>
    <row r="73" spans="1:49" x14ac:dyDescent="0.2">
      <c r="A73" s="17">
        <v>72</v>
      </c>
      <c r="B73" s="10">
        <v>38.367011016234699</v>
      </c>
      <c r="C73" s="10">
        <f>-28.1950069963932</f>
        <v>-28.1950069963932</v>
      </c>
      <c r="D73" s="11">
        <v>43285</v>
      </c>
      <c r="E73" s="12">
        <v>0.37634259259259256</v>
      </c>
      <c r="F73" s="12">
        <v>0.37994212962962964</v>
      </c>
      <c r="G73" s="12">
        <f t="shared" si="1"/>
        <v>3.5995370370370816E-3</v>
      </c>
      <c r="H73" s="10" t="s">
        <v>172</v>
      </c>
      <c r="I73" s="10" t="s">
        <v>10</v>
      </c>
      <c r="J73" s="10" t="s">
        <v>174</v>
      </c>
      <c r="K73" s="10"/>
      <c r="L73" s="10">
        <v>1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>
        <v>5</v>
      </c>
      <c r="AC73" s="10">
        <v>5</v>
      </c>
      <c r="AD73" s="10"/>
      <c r="AE73" s="10"/>
      <c r="AF73" s="10"/>
      <c r="AG73" s="10"/>
      <c r="AH73" s="10"/>
      <c r="AI73" s="10">
        <v>1</v>
      </c>
      <c r="AJ73" s="10"/>
      <c r="AK73" s="10"/>
      <c r="AL73" s="10">
        <v>1</v>
      </c>
      <c r="AM73" s="10"/>
      <c r="AN73" s="10"/>
      <c r="AO73" s="10"/>
      <c r="AP73" s="10"/>
      <c r="AQ73" s="10"/>
      <c r="AR73" s="10"/>
      <c r="AS73" s="10">
        <v>1</v>
      </c>
      <c r="AT73" s="10"/>
      <c r="AU73" s="10"/>
      <c r="AV73" s="10" t="s">
        <v>309</v>
      </c>
      <c r="AW73" s="7"/>
    </row>
    <row r="74" spans="1:49" x14ac:dyDescent="0.2">
      <c r="A74" s="17">
        <v>73</v>
      </c>
      <c r="B74" s="10">
        <v>38.396023968234601</v>
      </c>
      <c r="C74" s="10">
        <f>-28.460473017767</f>
        <v>-28.460473017767001</v>
      </c>
      <c r="D74" s="11">
        <v>43288</v>
      </c>
      <c r="E74" s="12">
        <v>0.45849537037037041</v>
      </c>
      <c r="F74" s="12">
        <v>0.45981481481481484</v>
      </c>
      <c r="G74" s="12">
        <f t="shared" si="1"/>
        <v>1.3194444444444287E-3</v>
      </c>
      <c r="H74" s="10" t="s">
        <v>175</v>
      </c>
      <c r="I74" s="10" t="s">
        <v>10</v>
      </c>
      <c r="J74" s="10" t="s">
        <v>177</v>
      </c>
      <c r="K74" s="10"/>
      <c r="L74" s="10">
        <v>1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>
        <v>8</v>
      </c>
      <c r="AC74" s="10">
        <v>6</v>
      </c>
      <c r="AD74" s="10">
        <v>2</v>
      </c>
      <c r="AE74" s="10"/>
      <c r="AF74" s="10"/>
      <c r="AG74" s="10"/>
      <c r="AH74" s="10"/>
      <c r="AI74" s="10">
        <v>1</v>
      </c>
      <c r="AJ74" s="10"/>
      <c r="AK74" s="10"/>
      <c r="AL74" s="10"/>
      <c r="AM74" s="10"/>
      <c r="AN74" s="10">
        <v>1</v>
      </c>
      <c r="AO74" s="10"/>
      <c r="AP74" s="10"/>
      <c r="AQ74" s="10"/>
      <c r="AR74" s="10"/>
      <c r="AS74" s="10">
        <v>2</v>
      </c>
      <c r="AT74" s="10"/>
      <c r="AU74" s="10"/>
      <c r="AV74" s="10" t="s">
        <v>309</v>
      </c>
      <c r="AW74" s="7"/>
    </row>
    <row r="75" spans="1:49" x14ac:dyDescent="0.2">
      <c r="A75" s="17">
        <v>74</v>
      </c>
      <c r="B75" s="10">
        <v>38.302834974601801</v>
      </c>
      <c r="C75" s="10">
        <f>-28.0097950156778</f>
        <v>-28.009795015677799</v>
      </c>
      <c r="D75" s="11">
        <v>43292</v>
      </c>
      <c r="E75" s="12">
        <v>0.47538194444444448</v>
      </c>
      <c r="F75" s="12">
        <v>0.4768634259259259</v>
      </c>
      <c r="G75" s="12">
        <f t="shared" si="1"/>
        <v>1.481481481481417E-3</v>
      </c>
      <c r="H75" s="10" t="s">
        <v>178</v>
      </c>
      <c r="I75" s="10" t="s">
        <v>179</v>
      </c>
      <c r="J75" s="10" t="s">
        <v>181</v>
      </c>
      <c r="K75" s="10"/>
      <c r="L75" s="10">
        <v>1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>
        <v>2</v>
      </c>
      <c r="AC75" s="10">
        <v>1</v>
      </c>
      <c r="AD75" s="10">
        <v>1</v>
      </c>
      <c r="AE75" s="10"/>
      <c r="AF75" s="10"/>
      <c r="AG75" s="10"/>
      <c r="AH75" s="10"/>
      <c r="AI75" s="10"/>
      <c r="AJ75" s="10">
        <v>1</v>
      </c>
      <c r="AK75" s="10"/>
      <c r="AL75" s="10">
        <v>1</v>
      </c>
      <c r="AM75" s="10"/>
      <c r="AN75" s="10"/>
      <c r="AO75" s="10"/>
      <c r="AP75" s="10"/>
      <c r="AQ75" s="10"/>
      <c r="AR75" s="10"/>
      <c r="AS75" s="10">
        <v>1</v>
      </c>
      <c r="AT75" s="10"/>
      <c r="AU75" s="10"/>
      <c r="AV75" s="10" t="s">
        <v>309</v>
      </c>
      <c r="AW75" s="7"/>
    </row>
    <row r="76" spans="1:49" x14ac:dyDescent="0.2">
      <c r="A76" s="17">
        <v>75</v>
      </c>
      <c r="B76" s="10">
        <v>38.348562028259003</v>
      </c>
      <c r="C76" s="10">
        <f>-28.3177209924906</f>
        <v>-28.317720992490599</v>
      </c>
      <c r="D76" s="11">
        <v>43297</v>
      </c>
      <c r="E76" s="12">
        <v>0.60481481481481481</v>
      </c>
      <c r="F76" s="12"/>
      <c r="G76" s="12">
        <v>6.9444444444444447E-4</v>
      </c>
      <c r="H76" s="10" t="s">
        <v>182</v>
      </c>
      <c r="I76" s="10" t="s">
        <v>183</v>
      </c>
      <c r="J76" s="10" t="s">
        <v>183</v>
      </c>
      <c r="K76" s="10"/>
      <c r="L76" s="10">
        <v>1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>
        <v>10</v>
      </c>
      <c r="AC76" s="10">
        <v>5</v>
      </c>
      <c r="AD76" s="10">
        <v>1</v>
      </c>
      <c r="AE76" s="10">
        <v>4</v>
      </c>
      <c r="AF76" s="10"/>
      <c r="AG76" s="10"/>
      <c r="AH76" s="10"/>
      <c r="AI76" s="10"/>
      <c r="AJ76" s="10">
        <v>1</v>
      </c>
      <c r="AK76" s="10"/>
      <c r="AL76" s="10"/>
      <c r="AM76" s="10">
        <v>1</v>
      </c>
      <c r="AN76" s="10"/>
      <c r="AO76" s="10"/>
      <c r="AP76" s="10"/>
      <c r="AQ76" s="10"/>
      <c r="AR76" s="10"/>
      <c r="AS76" s="10">
        <v>1</v>
      </c>
      <c r="AT76" s="10"/>
      <c r="AU76" s="10"/>
      <c r="AV76" s="10" t="s">
        <v>309</v>
      </c>
      <c r="AW76" s="7"/>
    </row>
    <row r="77" spans="1:49" x14ac:dyDescent="0.2">
      <c r="A77" s="17">
        <v>76</v>
      </c>
      <c r="B77" s="10">
        <v>38.336590994149397</v>
      </c>
      <c r="C77" s="10">
        <f>-28.1181860156357</f>
        <v>-28.1181860156357</v>
      </c>
      <c r="D77" s="11">
        <v>43304</v>
      </c>
      <c r="E77" s="12">
        <v>0.45937500000000003</v>
      </c>
      <c r="F77" s="12"/>
      <c r="G77" s="12">
        <v>6.9444444444444447E-4</v>
      </c>
      <c r="H77" s="10" t="s">
        <v>184</v>
      </c>
      <c r="I77" s="10" t="s">
        <v>185</v>
      </c>
      <c r="J77" s="10" t="s">
        <v>185</v>
      </c>
      <c r="K77" s="10"/>
      <c r="L77" s="10"/>
      <c r="M77" s="10"/>
      <c r="N77" s="10"/>
      <c r="O77" s="10"/>
      <c r="P77" s="10">
        <v>1</v>
      </c>
      <c r="Q77" s="10"/>
      <c r="R77" s="10"/>
      <c r="S77" s="10"/>
      <c r="T77" s="10"/>
      <c r="U77" s="10"/>
      <c r="V77" s="10"/>
      <c r="W77" s="10"/>
      <c r="X77" s="10"/>
      <c r="Y77" s="10"/>
      <c r="Z77" s="10">
        <v>1</v>
      </c>
      <c r="AA77" s="10"/>
      <c r="AB77" s="10">
        <v>3</v>
      </c>
      <c r="AC77" s="10">
        <v>2</v>
      </c>
      <c r="AD77" s="10">
        <v>1</v>
      </c>
      <c r="AE77" s="10"/>
      <c r="AF77" s="10"/>
      <c r="AG77" s="10"/>
      <c r="AH77" s="10"/>
      <c r="AI77" s="10">
        <v>1</v>
      </c>
      <c r="AJ77" s="10"/>
      <c r="AK77" s="10"/>
      <c r="AL77" s="10">
        <v>1</v>
      </c>
      <c r="AM77" s="10"/>
      <c r="AN77" s="10"/>
      <c r="AO77" s="10"/>
      <c r="AP77" s="10"/>
      <c r="AQ77" s="10"/>
      <c r="AR77" s="10"/>
      <c r="AS77" s="10">
        <v>2</v>
      </c>
      <c r="AT77" s="10"/>
      <c r="AU77" s="10"/>
      <c r="AV77" s="10" t="s">
        <v>309</v>
      </c>
      <c r="AW77" s="7"/>
    </row>
    <row r="78" spans="1:49" x14ac:dyDescent="0.2">
      <c r="A78" s="17">
        <v>77</v>
      </c>
      <c r="B78" s="10">
        <v>38.375814026221597</v>
      </c>
      <c r="C78" s="10">
        <f>-28.3389129582792</f>
        <v>-28.338912958279199</v>
      </c>
      <c r="D78" s="11">
        <v>43305</v>
      </c>
      <c r="E78" s="12">
        <v>0.47274305555555557</v>
      </c>
      <c r="F78" s="12">
        <v>0.47496527777777775</v>
      </c>
      <c r="G78" s="12">
        <f t="shared" si="1"/>
        <v>2.222222222222181E-3</v>
      </c>
      <c r="H78" s="10" t="s">
        <v>186</v>
      </c>
      <c r="I78" s="10" t="s">
        <v>10</v>
      </c>
      <c r="J78" s="10" t="s">
        <v>115</v>
      </c>
      <c r="K78" s="10"/>
      <c r="L78" s="10"/>
      <c r="M78" s="10"/>
      <c r="N78" s="10">
        <v>1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>
        <v>5</v>
      </c>
      <c r="AC78" s="10">
        <v>5</v>
      </c>
      <c r="AD78" s="10"/>
      <c r="AE78" s="10"/>
      <c r="AF78" s="10"/>
      <c r="AG78" s="10"/>
      <c r="AH78" s="10"/>
      <c r="AI78" s="10"/>
      <c r="AJ78" s="10">
        <v>1</v>
      </c>
      <c r="AK78" s="10"/>
      <c r="AL78" s="10"/>
      <c r="AM78" s="10">
        <v>1</v>
      </c>
      <c r="AN78" s="10"/>
      <c r="AO78" s="10"/>
      <c r="AP78" s="10"/>
      <c r="AQ78" s="10"/>
      <c r="AR78" s="10"/>
      <c r="AS78" s="10">
        <v>1</v>
      </c>
      <c r="AT78" s="10"/>
      <c r="AU78" s="10"/>
      <c r="AV78" s="10" t="s">
        <v>309</v>
      </c>
      <c r="AW78" s="7"/>
    </row>
    <row r="79" spans="1:49" x14ac:dyDescent="0.2">
      <c r="A79" s="17">
        <v>78</v>
      </c>
      <c r="B79" s="10">
        <v>38.378916000947299</v>
      </c>
      <c r="C79" s="10">
        <f>-28.394472990185</f>
        <v>-28.394472990185001</v>
      </c>
      <c r="D79" s="11">
        <v>43312</v>
      </c>
      <c r="E79" s="12">
        <v>0.4836805555555555</v>
      </c>
      <c r="F79" s="12">
        <v>0.48483796296296294</v>
      </c>
      <c r="G79" s="12">
        <f t="shared" si="1"/>
        <v>1.1574074074074403E-3</v>
      </c>
      <c r="H79" s="10" t="s">
        <v>188</v>
      </c>
      <c r="I79" s="10" t="s">
        <v>10</v>
      </c>
      <c r="J79" s="10" t="s">
        <v>190</v>
      </c>
      <c r="K79" s="10"/>
      <c r="L79" s="10"/>
      <c r="M79" s="10"/>
      <c r="N79" s="10"/>
      <c r="O79" s="10">
        <v>1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>
        <v>6</v>
      </c>
      <c r="AC79" s="10">
        <v>6</v>
      </c>
      <c r="AD79" s="10"/>
      <c r="AE79" s="10"/>
      <c r="AF79" s="10"/>
      <c r="AG79" s="10"/>
      <c r="AH79" s="10"/>
      <c r="AI79" s="10">
        <v>1</v>
      </c>
      <c r="AJ79" s="10"/>
      <c r="AK79" s="10"/>
      <c r="AL79" s="10"/>
      <c r="AM79" s="10">
        <v>1</v>
      </c>
      <c r="AN79" s="10"/>
      <c r="AO79" s="10"/>
      <c r="AP79" s="10"/>
      <c r="AQ79" s="10"/>
      <c r="AR79" s="10"/>
      <c r="AS79" s="10">
        <v>3</v>
      </c>
      <c r="AT79" s="10"/>
      <c r="AU79" s="10"/>
      <c r="AV79" s="10" t="s">
        <v>309</v>
      </c>
      <c r="AW79" s="7"/>
    </row>
    <row r="80" spans="1:49" x14ac:dyDescent="0.2">
      <c r="A80" s="17">
        <v>79</v>
      </c>
      <c r="B80" s="10">
        <v>38.380490038543897</v>
      </c>
      <c r="C80" s="10">
        <f>-28.4137200191617</f>
        <v>-28.413720019161701</v>
      </c>
      <c r="D80" s="11">
        <v>43313</v>
      </c>
      <c r="E80" s="12">
        <v>0.41212962962962968</v>
      </c>
      <c r="F80" s="12">
        <v>0.41373842592592597</v>
      </c>
      <c r="G80" s="12">
        <f t="shared" si="1"/>
        <v>1.6087962962962887E-3</v>
      </c>
      <c r="H80" s="10" t="s">
        <v>191</v>
      </c>
      <c r="I80" s="10" t="s">
        <v>10</v>
      </c>
      <c r="J80" s="10" t="s">
        <v>193</v>
      </c>
      <c r="K80" s="10"/>
      <c r="L80" s="10"/>
      <c r="M80" s="10"/>
      <c r="N80" s="10"/>
      <c r="O80" s="10">
        <v>1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>
        <v>4</v>
      </c>
      <c r="AC80" s="10">
        <v>4</v>
      </c>
      <c r="AD80" s="10"/>
      <c r="AE80" s="10"/>
      <c r="AF80" s="10"/>
      <c r="AG80" s="10"/>
      <c r="AH80" s="10"/>
      <c r="AI80" s="10"/>
      <c r="AJ80" s="10">
        <v>1</v>
      </c>
      <c r="AK80" s="10"/>
      <c r="AL80" s="10">
        <v>1</v>
      </c>
      <c r="AM80" s="10"/>
      <c r="AN80" s="10"/>
      <c r="AO80" s="10"/>
      <c r="AP80" s="10"/>
      <c r="AQ80" s="10"/>
      <c r="AR80" s="10"/>
      <c r="AS80" s="10">
        <v>3</v>
      </c>
      <c r="AT80" s="10"/>
      <c r="AU80" s="10"/>
      <c r="AV80" s="10" t="s">
        <v>309</v>
      </c>
      <c r="AW80" s="7"/>
    </row>
    <row r="81" spans="1:49" x14ac:dyDescent="0.2">
      <c r="A81" s="17">
        <v>80</v>
      </c>
      <c r="B81" s="10">
        <v>38.368079960346201</v>
      </c>
      <c r="C81" s="10">
        <f>-28.3982119895517</f>
        <v>-28.398211989551701</v>
      </c>
      <c r="D81" s="11">
        <v>43313</v>
      </c>
      <c r="E81" s="12">
        <v>0.46211805555555557</v>
      </c>
      <c r="F81" s="12">
        <v>0.46278935185185183</v>
      </c>
      <c r="G81" s="12">
        <f t="shared" si="1"/>
        <v>6.712962962962532E-4</v>
      </c>
      <c r="H81" s="10" t="s">
        <v>194</v>
      </c>
      <c r="I81" s="10" t="s">
        <v>10</v>
      </c>
      <c r="J81" s="10" t="s">
        <v>196</v>
      </c>
      <c r="K81" s="10"/>
      <c r="L81" s="10"/>
      <c r="M81" s="10"/>
      <c r="N81" s="10"/>
      <c r="O81" s="10">
        <v>1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>
        <v>3</v>
      </c>
      <c r="AC81" s="10">
        <v>3</v>
      </c>
      <c r="AD81" s="10"/>
      <c r="AE81" s="10"/>
      <c r="AF81" s="10"/>
      <c r="AG81" s="10"/>
      <c r="AH81" s="10"/>
      <c r="AI81" s="10">
        <v>1</v>
      </c>
      <c r="AJ81" s="10"/>
      <c r="AK81" s="10"/>
      <c r="AL81" s="10">
        <v>1</v>
      </c>
      <c r="AM81" s="10"/>
      <c r="AN81" s="10"/>
      <c r="AO81" s="10"/>
      <c r="AP81" s="10"/>
      <c r="AQ81" s="10"/>
      <c r="AR81" s="10"/>
      <c r="AS81" s="10">
        <v>3</v>
      </c>
      <c r="AT81" s="10"/>
      <c r="AU81" s="10"/>
      <c r="AV81" s="10" t="s">
        <v>309</v>
      </c>
      <c r="AW81" s="7"/>
    </row>
    <row r="82" spans="1:49" x14ac:dyDescent="0.2">
      <c r="A82" s="17">
        <v>81</v>
      </c>
      <c r="B82" s="10">
        <v>38.346789004281099</v>
      </c>
      <c r="C82" s="10">
        <f>-28.1486549880355</f>
        <v>-28.148654988035499</v>
      </c>
      <c r="D82" s="11">
        <v>43314</v>
      </c>
      <c r="E82" s="12">
        <v>0.42200231481481482</v>
      </c>
      <c r="F82" s="12">
        <v>0.42410879629629633</v>
      </c>
      <c r="G82" s="12">
        <f t="shared" si="1"/>
        <v>2.1064814814815147E-3</v>
      </c>
      <c r="H82" s="10" t="s">
        <v>197</v>
      </c>
      <c r="I82" s="10" t="s">
        <v>10</v>
      </c>
      <c r="J82" s="10" t="s">
        <v>199</v>
      </c>
      <c r="K82" s="10"/>
      <c r="L82" s="10">
        <v>1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>
        <v>5</v>
      </c>
      <c r="AC82" s="10">
        <v>5</v>
      </c>
      <c r="AD82" s="10"/>
      <c r="AE82" s="10"/>
      <c r="AF82" s="10"/>
      <c r="AG82" s="10"/>
      <c r="AH82" s="10">
        <v>1</v>
      </c>
      <c r="AI82" s="10"/>
      <c r="AJ82" s="10"/>
      <c r="AK82" s="10"/>
      <c r="AL82" s="10"/>
      <c r="AM82" s="10">
        <v>1</v>
      </c>
      <c r="AN82" s="10"/>
      <c r="AO82" s="10"/>
      <c r="AP82" s="10"/>
      <c r="AQ82" s="10"/>
      <c r="AR82" s="10"/>
      <c r="AS82" s="10">
        <v>1</v>
      </c>
      <c r="AT82" s="10"/>
      <c r="AU82" s="10"/>
      <c r="AV82" s="10" t="s">
        <v>309</v>
      </c>
      <c r="AW82" s="7"/>
    </row>
    <row r="83" spans="1:49" x14ac:dyDescent="0.2">
      <c r="A83" s="17">
        <v>82</v>
      </c>
      <c r="B83" s="10">
        <v>38.342767031863303</v>
      </c>
      <c r="C83" s="10">
        <f>-28.1409419607371</f>
        <v>-28.140941960737099</v>
      </c>
      <c r="D83" s="11">
        <v>43314</v>
      </c>
      <c r="E83" s="12">
        <v>0.4274074074074074</v>
      </c>
      <c r="F83" s="12">
        <v>0.44548611111111108</v>
      </c>
      <c r="G83" s="12">
        <f t="shared" si="1"/>
        <v>1.807870370370368E-2</v>
      </c>
      <c r="H83" s="10" t="s">
        <v>200</v>
      </c>
      <c r="I83" s="10" t="s">
        <v>10</v>
      </c>
      <c r="J83" s="10" t="s">
        <v>202</v>
      </c>
      <c r="K83" s="10"/>
      <c r="L83" s="10">
        <v>1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>
        <v>1</v>
      </c>
      <c r="X83" s="10"/>
      <c r="Y83" s="10"/>
      <c r="Z83" s="10"/>
      <c r="AA83" s="10"/>
      <c r="AB83" s="10">
        <v>5</v>
      </c>
      <c r="AC83" s="10">
        <v>5</v>
      </c>
      <c r="AD83" s="10"/>
      <c r="AE83" s="10"/>
      <c r="AF83" s="10"/>
      <c r="AG83" s="10"/>
      <c r="AH83" s="10">
        <v>1</v>
      </c>
      <c r="AI83" s="10"/>
      <c r="AJ83" s="10"/>
      <c r="AK83" s="10"/>
      <c r="AL83" s="10">
        <v>1</v>
      </c>
      <c r="AM83" s="10"/>
      <c r="AN83" s="10"/>
      <c r="AO83" s="10"/>
      <c r="AP83" s="10"/>
      <c r="AQ83" s="10"/>
      <c r="AR83" s="10"/>
      <c r="AS83" s="10">
        <v>1</v>
      </c>
      <c r="AT83" s="10"/>
      <c r="AU83" s="10"/>
      <c r="AV83" s="10" t="s">
        <v>309</v>
      </c>
      <c r="AW83" s="7"/>
    </row>
    <row r="84" spans="1:49" x14ac:dyDescent="0.2">
      <c r="A84" s="17">
        <v>83</v>
      </c>
      <c r="B84" s="10">
        <v>38.353732991963597</v>
      </c>
      <c r="C84" s="10">
        <f>-28.3560080174356</f>
        <v>-28.356008017435599</v>
      </c>
      <c r="D84" s="11">
        <v>43314</v>
      </c>
      <c r="E84" s="12">
        <v>0.61045138888888884</v>
      </c>
      <c r="F84" s="12"/>
      <c r="G84" s="12">
        <v>6.9444444444444447E-4</v>
      </c>
      <c r="H84" s="10" t="s">
        <v>203</v>
      </c>
      <c r="I84" s="10" t="s">
        <v>204</v>
      </c>
      <c r="J84" s="10" t="s">
        <v>204</v>
      </c>
      <c r="K84" s="10"/>
      <c r="L84" s="10"/>
      <c r="M84" s="10"/>
      <c r="N84" s="10"/>
      <c r="O84" s="10">
        <v>1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>
        <v>8</v>
      </c>
      <c r="AC84" s="10">
        <v>8</v>
      </c>
      <c r="AD84" s="10"/>
      <c r="AE84" s="10"/>
      <c r="AF84" s="10"/>
      <c r="AG84" s="10"/>
      <c r="AH84" s="10"/>
      <c r="AI84" s="10"/>
      <c r="AJ84" s="10">
        <v>1</v>
      </c>
      <c r="AK84" s="10"/>
      <c r="AL84" s="10">
        <v>1</v>
      </c>
      <c r="AM84" s="10"/>
      <c r="AN84" s="10"/>
      <c r="AO84" s="10"/>
      <c r="AP84" s="10"/>
      <c r="AQ84" s="10"/>
      <c r="AR84" s="10"/>
      <c r="AS84" s="10">
        <v>1</v>
      </c>
      <c r="AT84" s="10"/>
      <c r="AU84" s="10"/>
      <c r="AV84" s="10" t="s">
        <v>309</v>
      </c>
      <c r="AW84" s="7"/>
    </row>
    <row r="85" spans="1:49" x14ac:dyDescent="0.2">
      <c r="A85" s="17">
        <v>84</v>
      </c>
      <c r="B85" s="10">
        <v>38.265280025079797</v>
      </c>
      <c r="C85" s="10">
        <f>-28.3637989964336</f>
        <v>-28.363798996433601</v>
      </c>
      <c r="D85" s="11">
        <v>43316</v>
      </c>
      <c r="E85" s="12">
        <v>0.79912037037037031</v>
      </c>
      <c r="F85" s="12">
        <v>0.79996527777777782</v>
      </c>
      <c r="G85" s="12">
        <f t="shared" si="1"/>
        <v>8.4490740740750248E-4</v>
      </c>
      <c r="H85" s="10" t="s">
        <v>205</v>
      </c>
      <c r="I85" s="10" t="s">
        <v>10</v>
      </c>
      <c r="J85" s="10" t="s">
        <v>207</v>
      </c>
      <c r="K85" s="10"/>
      <c r="L85" s="10"/>
      <c r="M85" s="10"/>
      <c r="N85" s="10"/>
      <c r="O85" s="10">
        <v>1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>
        <v>8</v>
      </c>
      <c r="AC85" s="10">
        <v>8</v>
      </c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>
        <v>1</v>
      </c>
      <c r="AO85" s="10"/>
      <c r="AP85" s="10"/>
      <c r="AQ85" s="10"/>
      <c r="AR85" s="10"/>
      <c r="AS85" s="10">
        <v>3</v>
      </c>
      <c r="AT85" s="10"/>
      <c r="AU85" s="10"/>
      <c r="AV85" s="10" t="s">
        <v>309</v>
      </c>
      <c r="AW85" s="7"/>
    </row>
    <row r="86" spans="1:49" x14ac:dyDescent="0.2">
      <c r="A86" s="17">
        <v>85</v>
      </c>
      <c r="B86" s="10">
        <v>38.335094992071298</v>
      </c>
      <c r="C86" s="10">
        <f>-28.0708659812808</f>
        <v>-28.0708659812808</v>
      </c>
      <c r="D86" s="11">
        <v>43319</v>
      </c>
      <c r="E86" s="12">
        <v>0.47076388888888893</v>
      </c>
      <c r="F86" s="12"/>
      <c r="G86" s="12">
        <v>6.9444444444444447E-4</v>
      </c>
      <c r="H86" s="10" t="s">
        <v>208</v>
      </c>
      <c r="I86" s="10" t="s">
        <v>209</v>
      </c>
      <c r="J86" s="10" t="s">
        <v>209</v>
      </c>
      <c r="K86" s="10"/>
      <c r="L86" s="10">
        <v>1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>
        <v>10</v>
      </c>
      <c r="AC86" s="10">
        <v>8</v>
      </c>
      <c r="AD86" s="10">
        <v>2</v>
      </c>
      <c r="AE86" s="10"/>
      <c r="AF86" s="10"/>
      <c r="AG86" s="10"/>
      <c r="AH86" s="10"/>
      <c r="AI86" s="10">
        <v>1</v>
      </c>
      <c r="AJ86" s="10"/>
      <c r="AK86" s="10"/>
      <c r="AL86" s="10">
        <v>1</v>
      </c>
      <c r="AM86" s="10"/>
      <c r="AN86" s="10"/>
      <c r="AO86" s="10"/>
      <c r="AP86" s="10"/>
      <c r="AQ86" s="10"/>
      <c r="AR86" s="10"/>
      <c r="AS86" s="10">
        <v>1</v>
      </c>
      <c r="AT86" s="10"/>
      <c r="AU86" s="10"/>
      <c r="AV86" s="10" t="s">
        <v>309</v>
      </c>
      <c r="AW86" s="7"/>
    </row>
    <row r="87" spans="1:49" x14ac:dyDescent="0.2">
      <c r="A87" s="17">
        <v>86</v>
      </c>
      <c r="B87" s="10">
        <v>38.282354967668603</v>
      </c>
      <c r="C87" s="10">
        <f>-28.2923410087823</f>
        <v>-28.292341008782302</v>
      </c>
      <c r="D87" s="11">
        <v>43319</v>
      </c>
      <c r="E87" s="12">
        <v>0.68166666666666664</v>
      </c>
      <c r="F87" s="12">
        <v>0.68474537037037031</v>
      </c>
      <c r="G87" s="12">
        <f t="shared" si="1"/>
        <v>3.0787037037036669E-3</v>
      </c>
      <c r="H87" s="10" t="s">
        <v>210</v>
      </c>
      <c r="I87" s="10" t="s">
        <v>10</v>
      </c>
      <c r="J87" s="10" t="s">
        <v>212</v>
      </c>
      <c r="K87" s="10"/>
      <c r="L87" s="10">
        <v>1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>
        <v>1</v>
      </c>
      <c r="X87" s="10"/>
      <c r="Y87" s="10"/>
      <c r="Z87" s="10"/>
      <c r="AA87" s="10"/>
      <c r="AB87" s="10">
        <v>6</v>
      </c>
      <c r="AC87" s="10">
        <v>4</v>
      </c>
      <c r="AD87" s="10">
        <v>2</v>
      </c>
      <c r="AE87" s="10"/>
      <c r="AF87" s="10"/>
      <c r="AG87" s="10"/>
      <c r="AH87" s="10"/>
      <c r="AI87" s="10">
        <v>1</v>
      </c>
      <c r="AJ87" s="10"/>
      <c r="AK87" s="10"/>
      <c r="AL87" s="10"/>
      <c r="AM87" s="10">
        <v>1</v>
      </c>
      <c r="AN87" s="10"/>
      <c r="AO87" s="10"/>
      <c r="AP87" s="10"/>
      <c r="AQ87" s="10"/>
      <c r="AR87" s="10"/>
      <c r="AS87" s="10">
        <v>1</v>
      </c>
      <c r="AT87" s="10"/>
      <c r="AU87" s="10"/>
      <c r="AV87" s="10" t="s">
        <v>309</v>
      </c>
      <c r="AW87" s="7"/>
    </row>
    <row r="88" spans="1:49" x14ac:dyDescent="0.2">
      <c r="A88" s="17">
        <v>87</v>
      </c>
      <c r="B88" s="10">
        <v>38.3382080309093</v>
      </c>
      <c r="C88" s="10">
        <f>-28.4355820342898</f>
        <v>-28.435582034289801</v>
      </c>
      <c r="D88" s="11">
        <v>43320</v>
      </c>
      <c r="E88" s="12">
        <v>0.45460648148148147</v>
      </c>
      <c r="F88" s="12">
        <v>0.45979166666666665</v>
      </c>
      <c r="G88" s="12">
        <f t="shared" si="1"/>
        <v>5.1851851851851816E-3</v>
      </c>
      <c r="H88" s="10" t="s">
        <v>213</v>
      </c>
      <c r="I88" s="10" t="s">
        <v>10</v>
      </c>
      <c r="J88" s="10" t="s">
        <v>215</v>
      </c>
      <c r="K88" s="10"/>
      <c r="L88" s="10">
        <v>1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>
        <v>3</v>
      </c>
      <c r="AC88" s="10">
        <v>3</v>
      </c>
      <c r="AD88" s="10"/>
      <c r="AE88" s="10"/>
      <c r="AF88" s="10"/>
      <c r="AG88" s="10"/>
      <c r="AH88" s="10">
        <v>1</v>
      </c>
      <c r="AI88" s="10"/>
      <c r="AJ88" s="10"/>
      <c r="AK88" s="10"/>
      <c r="AL88" s="10">
        <v>1</v>
      </c>
      <c r="AM88" s="10"/>
      <c r="AN88" s="10"/>
      <c r="AO88" s="10"/>
      <c r="AP88" s="10"/>
      <c r="AQ88" s="10"/>
      <c r="AR88" s="10"/>
      <c r="AS88" s="10">
        <v>1</v>
      </c>
      <c r="AT88" s="10"/>
      <c r="AU88" s="10"/>
      <c r="AV88" s="10" t="s">
        <v>309</v>
      </c>
      <c r="AW88" s="7"/>
    </row>
    <row r="89" spans="1:49" x14ac:dyDescent="0.2">
      <c r="A89" s="17">
        <v>88</v>
      </c>
      <c r="B89" s="10">
        <v>38.378434963524299</v>
      </c>
      <c r="C89" s="10">
        <f>-28.1290600262582</f>
        <v>-28.129060026258198</v>
      </c>
      <c r="D89" s="11">
        <v>43338</v>
      </c>
      <c r="E89" s="12">
        <v>0.64565972222222223</v>
      </c>
      <c r="F89" s="12">
        <v>0.65234953703703702</v>
      </c>
      <c r="G89" s="12">
        <f t="shared" si="1"/>
        <v>6.6898148148147873E-3</v>
      </c>
      <c r="H89" s="10" t="s">
        <v>216</v>
      </c>
      <c r="I89" s="10" t="s">
        <v>10</v>
      </c>
      <c r="J89" s="10" t="s">
        <v>218</v>
      </c>
      <c r="K89" s="10"/>
      <c r="L89" s="10">
        <v>1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>
        <v>5</v>
      </c>
      <c r="AC89" s="10">
        <v>5</v>
      </c>
      <c r="AD89" s="10"/>
      <c r="AE89" s="10"/>
      <c r="AF89" s="10"/>
      <c r="AG89" s="10"/>
      <c r="AH89" s="10">
        <v>1</v>
      </c>
      <c r="AI89" s="10"/>
      <c r="AJ89" s="10"/>
      <c r="AK89" s="10"/>
      <c r="AL89" s="10">
        <v>1</v>
      </c>
      <c r="AM89" s="10"/>
      <c r="AN89" s="10"/>
      <c r="AO89" s="10"/>
      <c r="AP89" s="10"/>
      <c r="AQ89" s="10"/>
      <c r="AR89" s="10"/>
      <c r="AS89" s="10">
        <v>1</v>
      </c>
      <c r="AT89" s="10"/>
      <c r="AU89" s="10"/>
      <c r="AV89" s="10" t="s">
        <v>309</v>
      </c>
      <c r="AW89" s="7"/>
    </row>
    <row r="90" spans="1:49" x14ac:dyDescent="0.2">
      <c r="A90" s="17">
        <v>89</v>
      </c>
      <c r="B90" s="10">
        <v>38.368775993585501</v>
      </c>
      <c r="C90" s="10">
        <f>-28.5308769810944</f>
        <v>-28.530876981094401</v>
      </c>
      <c r="D90" s="11">
        <v>43339</v>
      </c>
      <c r="E90" s="12">
        <v>0.45425925925925931</v>
      </c>
      <c r="F90" s="12">
        <v>0.46083333333333337</v>
      </c>
      <c r="G90" s="12">
        <f t="shared" si="1"/>
        <v>6.5740740740740655E-3</v>
      </c>
      <c r="H90" s="10" t="s">
        <v>219</v>
      </c>
      <c r="I90" s="10" t="s">
        <v>10</v>
      </c>
      <c r="J90" s="10" t="s">
        <v>221</v>
      </c>
      <c r="K90" s="10"/>
      <c r="L90" s="10">
        <v>1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>
        <v>1</v>
      </c>
      <c r="X90" s="10"/>
      <c r="Y90" s="10"/>
      <c r="Z90" s="10"/>
      <c r="AA90" s="10"/>
      <c r="AB90" s="10">
        <v>6</v>
      </c>
      <c r="AC90" s="10">
        <v>6</v>
      </c>
      <c r="AD90" s="10"/>
      <c r="AE90" s="10"/>
      <c r="AF90" s="10"/>
      <c r="AG90" s="10"/>
      <c r="AH90" s="10"/>
      <c r="AI90" s="10"/>
      <c r="AJ90" s="10">
        <v>1</v>
      </c>
      <c r="AK90" s="10"/>
      <c r="AL90" s="10">
        <v>1</v>
      </c>
      <c r="AM90" s="10"/>
      <c r="AN90" s="10"/>
      <c r="AO90" s="10"/>
      <c r="AP90" s="10"/>
      <c r="AQ90" s="10"/>
      <c r="AR90" s="10"/>
      <c r="AS90" s="10">
        <v>1</v>
      </c>
      <c r="AT90" s="10"/>
      <c r="AU90" s="10"/>
      <c r="AV90" s="10" t="s">
        <v>309</v>
      </c>
      <c r="AW90" s="7"/>
    </row>
    <row r="91" spans="1:49" x14ac:dyDescent="0.2">
      <c r="A91" s="17">
        <v>90</v>
      </c>
      <c r="B91" s="10">
        <v>38.380360035225699</v>
      </c>
      <c r="C91" s="10">
        <f>-28.4443200007081</f>
        <v>-28.4443200007081</v>
      </c>
      <c r="D91" s="11">
        <v>43339</v>
      </c>
      <c r="E91" s="12">
        <v>0.47738425925925926</v>
      </c>
      <c r="F91" s="12">
        <v>0.47988425925925932</v>
      </c>
      <c r="G91" s="12">
        <f t="shared" si="1"/>
        <v>2.5000000000000577E-3</v>
      </c>
      <c r="H91" s="10" t="s">
        <v>222</v>
      </c>
      <c r="I91" s="10" t="s">
        <v>10</v>
      </c>
      <c r="J91" s="10" t="s">
        <v>224</v>
      </c>
      <c r="K91" s="10"/>
      <c r="L91" s="10">
        <v>1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>
        <v>6</v>
      </c>
      <c r="AC91" s="10">
        <v>6</v>
      </c>
      <c r="AD91" s="10"/>
      <c r="AE91" s="10"/>
      <c r="AF91" s="10"/>
      <c r="AG91" s="10"/>
      <c r="AH91" s="10"/>
      <c r="AI91" s="10"/>
      <c r="AJ91" s="10">
        <v>1</v>
      </c>
      <c r="AK91" s="10"/>
      <c r="AL91" s="10">
        <v>1</v>
      </c>
      <c r="AM91" s="10"/>
      <c r="AN91" s="10"/>
      <c r="AO91" s="10"/>
      <c r="AP91" s="10"/>
      <c r="AQ91" s="10"/>
      <c r="AR91" s="10"/>
      <c r="AS91" s="10">
        <v>1</v>
      </c>
      <c r="AT91" s="10"/>
      <c r="AU91" s="10"/>
      <c r="AV91" s="10" t="s">
        <v>309</v>
      </c>
      <c r="AW91" s="7"/>
    </row>
    <row r="92" spans="1:49" x14ac:dyDescent="0.2">
      <c r="A92" s="17">
        <v>91</v>
      </c>
      <c r="B92" s="10">
        <v>38.345841011032398</v>
      </c>
      <c r="C92" s="10">
        <f>-28.1740099936723</f>
        <v>-28.1740099936723</v>
      </c>
      <c r="D92" s="11">
        <v>43356</v>
      </c>
      <c r="E92" s="12">
        <v>0.38233796296296302</v>
      </c>
      <c r="F92" s="12">
        <v>0.38370370370370371</v>
      </c>
      <c r="G92" s="12">
        <f t="shared" si="1"/>
        <v>1.3657407407406952E-3</v>
      </c>
      <c r="H92" s="10" t="s">
        <v>225</v>
      </c>
      <c r="I92" s="10" t="s">
        <v>10</v>
      </c>
      <c r="J92" s="10" t="s">
        <v>227</v>
      </c>
      <c r="K92" s="10"/>
      <c r="L92" s="10"/>
      <c r="M92" s="10"/>
      <c r="N92" s="10"/>
      <c r="O92" s="10"/>
      <c r="P92" s="10">
        <v>1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>
        <v>2</v>
      </c>
      <c r="AC92" s="10">
        <v>2</v>
      </c>
      <c r="AD92" s="10"/>
      <c r="AE92" s="10"/>
      <c r="AF92" s="10"/>
      <c r="AG92" s="10"/>
      <c r="AH92" s="10"/>
      <c r="AI92" s="10"/>
      <c r="AJ92" s="10">
        <v>1</v>
      </c>
      <c r="AK92" s="10"/>
      <c r="AL92" s="10"/>
      <c r="AM92" s="10"/>
      <c r="AN92" s="10">
        <v>1</v>
      </c>
      <c r="AO92" s="10"/>
      <c r="AP92" s="10"/>
      <c r="AQ92" s="10"/>
      <c r="AR92" s="10"/>
      <c r="AS92" s="10">
        <v>2</v>
      </c>
      <c r="AT92" s="10"/>
      <c r="AU92" s="10"/>
      <c r="AV92" s="10" t="s">
        <v>309</v>
      </c>
      <c r="AW92" s="7"/>
    </row>
    <row r="93" spans="1:49" ht="17" thickBot="1" x14ac:dyDescent="0.25">
      <c r="A93" s="18">
        <v>92</v>
      </c>
      <c r="B93" s="19">
        <v>38.345358967781003</v>
      </c>
      <c r="C93" s="19">
        <f>-28.231099974364</f>
        <v>-28.231099974364</v>
      </c>
      <c r="D93" s="20">
        <v>43356</v>
      </c>
      <c r="E93" s="21">
        <v>0.68237268518518512</v>
      </c>
      <c r="F93" s="21"/>
      <c r="G93" s="21">
        <v>6.9444444444444447E-4</v>
      </c>
      <c r="H93" s="19" t="s">
        <v>228</v>
      </c>
      <c r="I93" s="19" t="s">
        <v>229</v>
      </c>
      <c r="J93" s="19" t="s">
        <v>229</v>
      </c>
      <c r="K93" s="19"/>
      <c r="L93" s="19">
        <v>1</v>
      </c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>
        <v>3</v>
      </c>
      <c r="AC93" s="19">
        <v>3</v>
      </c>
      <c r="AD93" s="19"/>
      <c r="AE93" s="19"/>
      <c r="AF93" s="19"/>
      <c r="AG93" s="19"/>
      <c r="AH93" s="19"/>
      <c r="AI93" s="19">
        <v>1</v>
      </c>
      <c r="AJ93" s="19"/>
      <c r="AK93" s="19"/>
      <c r="AL93" s="19"/>
      <c r="AM93" s="19"/>
      <c r="AN93" s="19">
        <v>1</v>
      </c>
      <c r="AO93" s="19"/>
      <c r="AP93" s="19"/>
      <c r="AQ93" s="19"/>
      <c r="AR93" s="19"/>
      <c r="AS93" s="19">
        <v>3</v>
      </c>
      <c r="AT93" s="19"/>
      <c r="AU93" s="19"/>
      <c r="AV93" s="10" t="s">
        <v>309</v>
      </c>
      <c r="AW93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A8D4-8891-8A4B-BDD2-2826497715C2}">
  <dimension ref="A1:I93"/>
  <sheetViews>
    <sheetView zoomScale="121" zoomScaleNormal="121" workbookViewId="0">
      <pane ySplit="1" topLeftCell="A81" activePane="bottomLeft" state="frozen"/>
      <selection activeCell="J1" sqref="J1"/>
      <selection pane="bottomLeft" activeCell="H93" activeCellId="1" sqref="A1:D93 H1:H93"/>
    </sheetView>
  </sheetViews>
  <sheetFormatPr baseColWidth="10" defaultRowHeight="16" x14ac:dyDescent="0.2"/>
  <cols>
    <col min="9" max="9" width="17.6640625" bestFit="1" customWidth="1"/>
  </cols>
  <sheetData>
    <row r="1" spans="1:9" x14ac:dyDescent="0.2">
      <c r="A1" s="23" t="s">
        <v>230</v>
      </c>
      <c r="B1" s="24" t="s">
        <v>0</v>
      </c>
      <c r="C1" s="24" t="s">
        <v>1</v>
      </c>
      <c r="D1" s="24" t="s">
        <v>231</v>
      </c>
      <c r="E1" s="29" t="s">
        <v>311</v>
      </c>
      <c r="F1" s="24" t="s">
        <v>312</v>
      </c>
      <c r="G1" s="24" t="s">
        <v>313</v>
      </c>
      <c r="H1" s="24" t="s">
        <v>314</v>
      </c>
      <c r="I1" s="25" t="s">
        <v>2</v>
      </c>
    </row>
    <row r="2" spans="1:9" x14ac:dyDescent="0.2">
      <c r="A2" s="17">
        <v>1</v>
      </c>
      <c r="B2" s="10">
        <v>38.388441028073402</v>
      </c>
      <c r="C2" s="10">
        <f>-28.336932985112</f>
        <v>-28.336932985112</v>
      </c>
      <c r="D2" s="11">
        <v>41092</v>
      </c>
      <c r="E2" s="27" t="s">
        <v>234</v>
      </c>
      <c r="F2" s="27" t="s">
        <v>235</v>
      </c>
      <c r="G2" s="27" t="s">
        <v>236</v>
      </c>
      <c r="H2" s="12">
        <v>0.47469907407407402</v>
      </c>
      <c r="I2" s="7" t="s">
        <v>3</v>
      </c>
    </row>
    <row r="3" spans="1:9" x14ac:dyDescent="0.2">
      <c r="A3" s="17">
        <v>2</v>
      </c>
      <c r="B3" s="10">
        <v>38.374166982248397</v>
      </c>
      <c r="C3" s="10">
        <f>-28.1789920292794</f>
        <v>-28.178992029279399</v>
      </c>
      <c r="D3" s="11">
        <v>41094</v>
      </c>
      <c r="E3" s="27" t="s">
        <v>237</v>
      </c>
      <c r="F3" s="27" t="s">
        <v>235</v>
      </c>
      <c r="G3" s="27" t="s">
        <v>236</v>
      </c>
      <c r="H3" s="12">
        <v>0.44591435185185185</v>
      </c>
      <c r="I3" s="7" t="s">
        <v>5</v>
      </c>
    </row>
    <row r="4" spans="1:9" x14ac:dyDescent="0.2">
      <c r="A4" s="17">
        <v>3</v>
      </c>
      <c r="B4" s="10">
        <v>38.363711982965398</v>
      </c>
      <c r="C4" s="10">
        <f>-28.1739860214293</f>
        <v>-28.1739860214293</v>
      </c>
      <c r="D4" s="11">
        <v>41094</v>
      </c>
      <c r="E4" s="27" t="s">
        <v>237</v>
      </c>
      <c r="F4" s="27" t="s">
        <v>235</v>
      </c>
      <c r="G4" s="27" t="s">
        <v>236</v>
      </c>
      <c r="H4" s="12">
        <v>0.47273148148148153</v>
      </c>
      <c r="I4" s="7" t="s">
        <v>9</v>
      </c>
    </row>
    <row r="5" spans="1:9" x14ac:dyDescent="0.2">
      <c r="A5" s="17">
        <v>4</v>
      </c>
      <c r="B5" s="10">
        <v>38.339184019714502</v>
      </c>
      <c r="C5" s="10">
        <f>-28.2632399629801</f>
        <v>-28.263239962980101</v>
      </c>
      <c r="D5" s="11">
        <v>41099</v>
      </c>
      <c r="E5" s="27" t="s">
        <v>238</v>
      </c>
      <c r="F5" s="27" t="s">
        <v>235</v>
      </c>
      <c r="G5" s="27" t="s">
        <v>236</v>
      </c>
      <c r="H5" s="12">
        <v>0.52364583333333337</v>
      </c>
      <c r="I5" s="7" t="s">
        <v>13</v>
      </c>
    </row>
    <row r="6" spans="1:9" x14ac:dyDescent="0.2">
      <c r="A6" s="17">
        <v>5</v>
      </c>
      <c r="B6" s="10">
        <v>38.369204979389899</v>
      </c>
      <c r="C6" s="10">
        <f>-28.1682350300252</f>
        <v>-28.168235030025201</v>
      </c>
      <c r="D6" s="11">
        <v>41100</v>
      </c>
      <c r="E6" s="27" t="s">
        <v>239</v>
      </c>
      <c r="F6" s="27" t="s">
        <v>235</v>
      </c>
      <c r="G6" s="27" t="s">
        <v>236</v>
      </c>
      <c r="H6" s="12">
        <v>0.5003819444444445</v>
      </c>
      <c r="I6" s="7" t="s">
        <v>16</v>
      </c>
    </row>
    <row r="7" spans="1:9" x14ac:dyDescent="0.2">
      <c r="A7" s="17">
        <v>6</v>
      </c>
      <c r="B7" s="10">
        <v>38.377077011391499</v>
      </c>
      <c r="C7" s="10">
        <f>-28.3225779701024</f>
        <v>-28.322577970102401</v>
      </c>
      <c r="D7" s="11">
        <v>41108</v>
      </c>
      <c r="E7" s="27" t="s">
        <v>240</v>
      </c>
      <c r="F7" s="27" t="s">
        <v>235</v>
      </c>
      <c r="G7" s="27" t="s">
        <v>236</v>
      </c>
      <c r="H7" s="12">
        <v>0.43765046296296295</v>
      </c>
      <c r="I7" s="7" t="s">
        <v>19</v>
      </c>
    </row>
    <row r="8" spans="1:9" x14ac:dyDescent="0.2">
      <c r="A8" s="17">
        <v>7</v>
      </c>
      <c r="B8" s="10">
        <v>38.375315973535102</v>
      </c>
      <c r="C8" s="10">
        <f>-28.1216159742325</f>
        <v>-28.121615974232501</v>
      </c>
      <c r="D8" s="11">
        <v>41109</v>
      </c>
      <c r="E8" s="27" t="s">
        <v>241</v>
      </c>
      <c r="F8" s="27" t="s">
        <v>235</v>
      </c>
      <c r="G8" s="27" t="s">
        <v>236</v>
      </c>
      <c r="H8" s="12">
        <v>0.72748842592592589</v>
      </c>
      <c r="I8" s="7" t="s">
        <v>22</v>
      </c>
    </row>
    <row r="9" spans="1:9" x14ac:dyDescent="0.2">
      <c r="A9" s="17">
        <v>8</v>
      </c>
      <c r="B9" s="10">
        <v>38.373291995376299</v>
      </c>
      <c r="C9" s="10">
        <f>-28.1850910373032</f>
        <v>-28.185091037303199</v>
      </c>
      <c r="D9" s="11">
        <v>41111</v>
      </c>
      <c r="E9" s="27" t="s">
        <v>242</v>
      </c>
      <c r="F9" s="27" t="s">
        <v>235</v>
      </c>
      <c r="G9" s="27" t="s">
        <v>236</v>
      </c>
      <c r="H9" s="12">
        <v>0.48534722222222221</v>
      </c>
      <c r="I9" s="7" t="s">
        <v>24</v>
      </c>
    </row>
    <row r="10" spans="1:9" x14ac:dyDescent="0.2">
      <c r="A10" s="17">
        <v>9</v>
      </c>
      <c r="B10" s="10">
        <v>38.353771967813302</v>
      </c>
      <c r="C10" s="10">
        <f>-28.2893920037895</f>
        <v>-28.289392003789501</v>
      </c>
      <c r="D10" s="11">
        <v>41112</v>
      </c>
      <c r="E10" s="27" t="s">
        <v>243</v>
      </c>
      <c r="F10" s="27" t="s">
        <v>235</v>
      </c>
      <c r="G10" s="27" t="s">
        <v>236</v>
      </c>
      <c r="H10" s="12">
        <v>0.62349537037037039</v>
      </c>
      <c r="I10" s="7" t="s">
        <v>25</v>
      </c>
    </row>
    <row r="11" spans="1:9" x14ac:dyDescent="0.2">
      <c r="A11" s="17">
        <v>10</v>
      </c>
      <c r="B11" s="10">
        <v>38.365232963114899</v>
      </c>
      <c r="C11" s="10">
        <f>-28.1506290100514</f>
        <v>-28.1506290100514</v>
      </c>
      <c r="D11" s="11">
        <v>41121</v>
      </c>
      <c r="E11" s="27" t="s">
        <v>244</v>
      </c>
      <c r="F11" s="27" t="s">
        <v>235</v>
      </c>
      <c r="G11" s="27" t="s">
        <v>236</v>
      </c>
      <c r="H11" s="12">
        <v>0.47182870370370367</v>
      </c>
      <c r="I11" s="7" t="s">
        <v>28</v>
      </c>
    </row>
    <row r="12" spans="1:9" x14ac:dyDescent="0.2">
      <c r="A12" s="17">
        <v>11</v>
      </c>
      <c r="B12" s="10">
        <v>38.341877963393898</v>
      </c>
      <c r="C12" s="10">
        <f>-28.3042269665747</f>
        <v>-28.304226966574699</v>
      </c>
      <c r="D12" s="11">
        <v>41122</v>
      </c>
      <c r="E12" s="27" t="s">
        <v>245</v>
      </c>
      <c r="F12" s="27" t="s">
        <v>246</v>
      </c>
      <c r="G12" s="27" t="s">
        <v>236</v>
      </c>
      <c r="H12" s="12">
        <v>0.73195601851851855</v>
      </c>
      <c r="I12" s="7" t="s">
        <v>31</v>
      </c>
    </row>
    <row r="13" spans="1:9" x14ac:dyDescent="0.2">
      <c r="A13" s="17">
        <v>12</v>
      </c>
      <c r="B13" s="10">
        <v>38.350839978083897</v>
      </c>
      <c r="C13" s="10">
        <f>-28.2454290054738</f>
        <v>-28.245429005473799</v>
      </c>
      <c r="D13" s="11">
        <v>41123</v>
      </c>
      <c r="E13" s="27" t="s">
        <v>234</v>
      </c>
      <c r="F13" s="27" t="s">
        <v>246</v>
      </c>
      <c r="G13" s="27" t="s">
        <v>236</v>
      </c>
      <c r="H13" s="12">
        <v>0.47864583333333338</v>
      </c>
      <c r="I13" s="7" t="s">
        <v>34</v>
      </c>
    </row>
    <row r="14" spans="1:9" x14ac:dyDescent="0.2">
      <c r="A14" s="17">
        <v>13</v>
      </c>
      <c r="B14" s="10">
        <v>38.336212970316403</v>
      </c>
      <c r="C14" s="10">
        <f>-28.2577939890325</f>
        <v>-28.2577939890325</v>
      </c>
      <c r="D14" s="11">
        <v>41123</v>
      </c>
      <c r="E14" s="27" t="s">
        <v>234</v>
      </c>
      <c r="F14" s="27" t="s">
        <v>246</v>
      </c>
      <c r="G14" s="27" t="s">
        <v>236</v>
      </c>
      <c r="H14" s="12">
        <v>0.68361111111111106</v>
      </c>
      <c r="I14" s="7" t="s">
        <v>37</v>
      </c>
    </row>
    <row r="15" spans="1:9" x14ac:dyDescent="0.2">
      <c r="A15" s="17">
        <v>14</v>
      </c>
      <c r="B15" s="10">
        <v>38.368782028555799</v>
      </c>
      <c r="C15" s="10">
        <f>-28.0618619732558</f>
        <v>-28.061861973255802</v>
      </c>
      <c r="D15" s="11">
        <v>41138</v>
      </c>
      <c r="E15" s="27" t="s">
        <v>247</v>
      </c>
      <c r="F15" s="27" t="s">
        <v>246</v>
      </c>
      <c r="G15" s="27" t="s">
        <v>236</v>
      </c>
      <c r="H15" s="12">
        <v>0.83082175925925927</v>
      </c>
      <c r="I15" s="7" t="s">
        <v>40</v>
      </c>
    </row>
    <row r="16" spans="1:9" x14ac:dyDescent="0.2">
      <c r="A16" s="17">
        <v>15</v>
      </c>
      <c r="B16" s="10">
        <v>38.342287000268598</v>
      </c>
      <c r="C16" s="10">
        <f>-28.1789640337228</f>
        <v>-28.178964033722799</v>
      </c>
      <c r="D16" s="11">
        <v>41144</v>
      </c>
      <c r="E16" s="27" t="s">
        <v>248</v>
      </c>
      <c r="F16" s="27" t="s">
        <v>246</v>
      </c>
      <c r="G16" s="27" t="s">
        <v>236</v>
      </c>
      <c r="H16" s="12">
        <v>0.42033564814814817</v>
      </c>
      <c r="I16" s="7" t="s">
        <v>43</v>
      </c>
    </row>
    <row r="17" spans="1:9" x14ac:dyDescent="0.2">
      <c r="A17" s="17">
        <v>16</v>
      </c>
      <c r="B17" s="10">
        <v>38.344129007309597</v>
      </c>
      <c r="C17" s="10">
        <f>-28.1394410133361</f>
        <v>-28.1394410133361</v>
      </c>
      <c r="D17" s="11">
        <v>41145</v>
      </c>
      <c r="E17" s="27" t="s">
        <v>249</v>
      </c>
      <c r="F17" s="27" t="s">
        <v>246</v>
      </c>
      <c r="G17" s="27" t="s">
        <v>236</v>
      </c>
      <c r="H17" s="12">
        <v>0.70840277777777771</v>
      </c>
      <c r="I17" s="7" t="s">
        <v>46</v>
      </c>
    </row>
    <row r="18" spans="1:9" x14ac:dyDescent="0.2">
      <c r="A18" s="17">
        <v>17</v>
      </c>
      <c r="B18" s="10">
        <v>38.377422010525997</v>
      </c>
      <c r="C18" s="10">
        <f>-28.0867760069668</f>
        <v>-28.086776006966801</v>
      </c>
      <c r="D18" s="11">
        <v>41146</v>
      </c>
      <c r="E18" s="27" t="s">
        <v>250</v>
      </c>
      <c r="F18" s="27" t="s">
        <v>246</v>
      </c>
      <c r="G18" s="27" t="s">
        <v>236</v>
      </c>
      <c r="H18" s="12">
        <v>0.46043981481481483</v>
      </c>
      <c r="I18" s="7" t="s">
        <v>48</v>
      </c>
    </row>
    <row r="19" spans="1:9" x14ac:dyDescent="0.2">
      <c r="A19" s="17">
        <v>18</v>
      </c>
      <c r="B19" s="10">
        <v>38.317805975675498</v>
      </c>
      <c r="C19" s="10">
        <f>-28.1758769787848</f>
        <v>-28.1758769787848</v>
      </c>
      <c r="D19" s="11">
        <v>41148</v>
      </c>
      <c r="E19" s="27" t="s">
        <v>251</v>
      </c>
      <c r="F19" s="27" t="s">
        <v>246</v>
      </c>
      <c r="G19" s="27" t="s">
        <v>236</v>
      </c>
      <c r="H19" s="12">
        <v>0.45046296296296301</v>
      </c>
      <c r="I19" s="7" t="s">
        <v>50</v>
      </c>
    </row>
    <row r="20" spans="1:9" x14ac:dyDescent="0.2">
      <c r="A20" s="17">
        <v>19</v>
      </c>
      <c r="B20" s="10">
        <v>38.287851987406597</v>
      </c>
      <c r="C20" s="10">
        <f>-28.1262019649147</f>
        <v>-28.126201964914699</v>
      </c>
      <c r="D20" s="11">
        <v>41148</v>
      </c>
      <c r="E20" s="27" t="s">
        <v>251</v>
      </c>
      <c r="F20" s="27" t="s">
        <v>246</v>
      </c>
      <c r="G20" s="27" t="s">
        <v>236</v>
      </c>
      <c r="H20" s="12">
        <v>0.72361111111111109</v>
      </c>
      <c r="I20" s="7" t="s">
        <v>52</v>
      </c>
    </row>
    <row r="21" spans="1:9" x14ac:dyDescent="0.2">
      <c r="A21" s="17">
        <v>20</v>
      </c>
      <c r="B21" s="10">
        <v>38.3759270142763</v>
      </c>
      <c r="C21" s="10">
        <f>-28.2844109740108</f>
        <v>-28.2844109740108</v>
      </c>
      <c r="D21" s="11">
        <v>41149</v>
      </c>
      <c r="E21" s="27" t="s">
        <v>252</v>
      </c>
      <c r="F21" s="27" t="s">
        <v>246</v>
      </c>
      <c r="G21" s="27" t="s">
        <v>236</v>
      </c>
      <c r="H21" s="12">
        <v>0.3943402777777778</v>
      </c>
      <c r="I21" s="7" t="s">
        <v>54</v>
      </c>
    </row>
    <row r="22" spans="1:9" x14ac:dyDescent="0.2">
      <c r="A22" s="17">
        <v>21</v>
      </c>
      <c r="B22" s="10">
        <v>38.330041961744399</v>
      </c>
      <c r="C22" s="10">
        <f>-28.2938869670033</f>
        <v>-28.293886967003299</v>
      </c>
      <c r="D22" s="11">
        <v>41152</v>
      </c>
      <c r="E22" s="27" t="s">
        <v>244</v>
      </c>
      <c r="F22" s="27" t="s">
        <v>246</v>
      </c>
      <c r="G22" s="27" t="s">
        <v>236</v>
      </c>
      <c r="H22" s="12">
        <v>0.66060185185185183</v>
      </c>
      <c r="I22" s="7" t="s">
        <v>56</v>
      </c>
    </row>
    <row r="23" spans="1:9" x14ac:dyDescent="0.2">
      <c r="A23" s="17">
        <v>22</v>
      </c>
      <c r="B23" s="10">
        <v>38.379006022587397</v>
      </c>
      <c r="C23" s="10">
        <f>-28.3185409940779</f>
        <v>-28.3185409940779</v>
      </c>
      <c r="D23" s="11">
        <v>41155</v>
      </c>
      <c r="E23" s="27" t="s">
        <v>253</v>
      </c>
      <c r="F23" s="27" t="s">
        <v>238</v>
      </c>
      <c r="G23" s="27" t="s">
        <v>236</v>
      </c>
      <c r="H23" s="12">
        <v>0.44973379629629634</v>
      </c>
      <c r="I23" s="7" t="s">
        <v>58</v>
      </c>
    </row>
    <row r="24" spans="1:9" x14ac:dyDescent="0.2">
      <c r="A24" s="17">
        <v>23</v>
      </c>
      <c r="B24" s="10">
        <v>38.343157963827203</v>
      </c>
      <c r="C24" s="10">
        <f>-28.2663769740611</f>
        <v>-28.2663769740611</v>
      </c>
      <c r="D24" s="11">
        <v>41159</v>
      </c>
      <c r="E24" s="27" t="s">
        <v>235</v>
      </c>
      <c r="F24" s="27" t="s">
        <v>238</v>
      </c>
      <c r="G24" s="27" t="s">
        <v>236</v>
      </c>
      <c r="H24" s="12">
        <v>0.44578703703703698</v>
      </c>
      <c r="I24" s="7" t="s">
        <v>60</v>
      </c>
    </row>
    <row r="25" spans="1:9" x14ac:dyDescent="0.2">
      <c r="A25" s="17">
        <v>24</v>
      </c>
      <c r="B25" s="10">
        <v>38.376107979565802</v>
      </c>
      <c r="C25" s="10">
        <f>-28.3030970022082</f>
        <v>-28.303097002208201</v>
      </c>
      <c r="D25" s="11">
        <v>41159</v>
      </c>
      <c r="E25" s="27" t="s">
        <v>235</v>
      </c>
      <c r="F25" s="27" t="s">
        <v>238</v>
      </c>
      <c r="G25" s="27" t="s">
        <v>236</v>
      </c>
      <c r="H25" s="12">
        <v>0.46001157407407406</v>
      </c>
      <c r="I25" s="7" t="s">
        <v>62</v>
      </c>
    </row>
    <row r="26" spans="1:9" x14ac:dyDescent="0.2">
      <c r="A26" s="17">
        <v>25</v>
      </c>
      <c r="B26" s="10">
        <v>38.352438993752003</v>
      </c>
      <c r="C26" s="10">
        <f>-28.1861619930714</f>
        <v>-28.186161993071401</v>
      </c>
      <c r="D26" s="11">
        <v>41459</v>
      </c>
      <c r="E26" s="27" t="s">
        <v>237</v>
      </c>
      <c r="F26" s="27" t="s">
        <v>235</v>
      </c>
      <c r="G26" s="27" t="s">
        <v>254</v>
      </c>
      <c r="H26" s="12">
        <v>0.75121527777777775</v>
      </c>
      <c r="I26" s="7" t="s">
        <v>63</v>
      </c>
    </row>
    <row r="27" spans="1:9" x14ac:dyDescent="0.2">
      <c r="A27" s="17">
        <v>26</v>
      </c>
      <c r="B27" s="10">
        <v>38.341558026149798</v>
      </c>
      <c r="C27" s="10">
        <f>-28.3441099897027</f>
        <v>-28.344109989702702</v>
      </c>
      <c r="D27" s="11">
        <v>41462</v>
      </c>
      <c r="E27" s="27" t="s">
        <v>235</v>
      </c>
      <c r="F27" s="27" t="s">
        <v>235</v>
      </c>
      <c r="G27" s="27" t="s">
        <v>254</v>
      </c>
      <c r="H27" s="12">
        <v>0.46089120370370368</v>
      </c>
      <c r="I27" s="7" t="s">
        <v>66</v>
      </c>
    </row>
    <row r="28" spans="1:9" x14ac:dyDescent="0.2">
      <c r="A28" s="17">
        <v>27</v>
      </c>
      <c r="B28" s="10">
        <v>38.292841985821703</v>
      </c>
      <c r="C28" s="10">
        <f>-28.3223540056496</f>
        <v>-28.322354005649601</v>
      </c>
      <c r="D28" s="11">
        <v>41465</v>
      </c>
      <c r="E28" s="27" t="s">
        <v>239</v>
      </c>
      <c r="F28" s="27" t="s">
        <v>235</v>
      </c>
      <c r="G28" s="27" t="s">
        <v>254</v>
      </c>
      <c r="H28" s="12">
        <v>0.73255787037037035</v>
      </c>
      <c r="I28" s="7" t="s">
        <v>69</v>
      </c>
    </row>
    <row r="29" spans="1:9" x14ac:dyDescent="0.2">
      <c r="A29" s="17">
        <v>28</v>
      </c>
      <c r="B29" s="10">
        <v>38.379782019182997</v>
      </c>
      <c r="C29" s="10">
        <f>-28.3080320153385</f>
        <v>-28.308032015338501</v>
      </c>
      <c r="D29" s="11">
        <v>41467</v>
      </c>
      <c r="E29" s="27" t="s">
        <v>255</v>
      </c>
      <c r="F29" s="27" t="s">
        <v>235</v>
      </c>
      <c r="G29" s="27" t="s">
        <v>254</v>
      </c>
      <c r="H29" s="12">
        <v>0.42934027777777778</v>
      </c>
      <c r="I29" s="7" t="s">
        <v>71</v>
      </c>
    </row>
    <row r="30" spans="1:9" x14ac:dyDescent="0.2">
      <c r="A30" s="17">
        <v>29</v>
      </c>
      <c r="B30" s="10">
        <v>38.322596987709403</v>
      </c>
      <c r="C30" s="10">
        <f>-28.3849779702723</f>
        <v>-28.384977970272299</v>
      </c>
      <c r="D30" s="11">
        <v>41467</v>
      </c>
      <c r="E30" s="27" t="s">
        <v>255</v>
      </c>
      <c r="F30" s="27" t="s">
        <v>235</v>
      </c>
      <c r="G30" s="27" t="s">
        <v>254</v>
      </c>
      <c r="H30" s="12">
        <v>0.72642361111111109</v>
      </c>
      <c r="I30" s="7" t="s">
        <v>74</v>
      </c>
    </row>
    <row r="31" spans="1:9" x14ac:dyDescent="0.2">
      <c r="A31" s="17">
        <v>30</v>
      </c>
      <c r="B31" s="10">
        <v>38.2914319820702</v>
      </c>
      <c r="C31" s="10">
        <f>-28.0246530286967</f>
        <v>-28.024653028696701</v>
      </c>
      <c r="D31" s="11">
        <v>41524</v>
      </c>
      <c r="E31" s="27" t="s">
        <v>235</v>
      </c>
      <c r="F31" s="27" t="s">
        <v>238</v>
      </c>
      <c r="G31" s="27" t="s">
        <v>254</v>
      </c>
      <c r="H31" s="12">
        <v>0.49642361111111111</v>
      </c>
      <c r="I31" s="7" t="s">
        <v>76</v>
      </c>
    </row>
    <row r="32" spans="1:9" x14ac:dyDescent="0.2">
      <c r="A32" s="17">
        <v>31</v>
      </c>
      <c r="B32" s="10">
        <v>38.313252003863397</v>
      </c>
      <c r="C32" s="10">
        <f>-27.9507920332252</f>
        <v>-27.950792033225198</v>
      </c>
      <c r="D32" s="11">
        <v>41526</v>
      </c>
      <c r="E32" s="27" t="s">
        <v>238</v>
      </c>
      <c r="F32" s="27" t="s">
        <v>238</v>
      </c>
      <c r="G32" s="27" t="s">
        <v>254</v>
      </c>
      <c r="H32" s="12">
        <v>0.6582175925925926</v>
      </c>
      <c r="I32" s="7" t="s">
        <v>78</v>
      </c>
    </row>
    <row r="33" spans="1:9" x14ac:dyDescent="0.2">
      <c r="A33" s="17">
        <v>32</v>
      </c>
      <c r="B33" s="10">
        <v>38.3670870400965</v>
      </c>
      <c r="C33" s="10">
        <f>-28.1786190345883</f>
        <v>-28.178619034588301</v>
      </c>
      <c r="D33" s="11">
        <v>41827</v>
      </c>
      <c r="E33" s="27" t="s">
        <v>235</v>
      </c>
      <c r="F33" s="27" t="s">
        <v>235</v>
      </c>
      <c r="G33" s="27" t="s">
        <v>256</v>
      </c>
      <c r="H33" s="12">
        <v>0.65065972222222224</v>
      </c>
      <c r="I33" s="7" t="s">
        <v>80</v>
      </c>
    </row>
    <row r="34" spans="1:9" x14ac:dyDescent="0.2">
      <c r="A34" s="17">
        <v>33</v>
      </c>
      <c r="B34" s="10">
        <v>38.3111520018428</v>
      </c>
      <c r="C34" s="10">
        <f>-28.2105779740959</f>
        <v>-28.210577974095902</v>
      </c>
      <c r="D34" s="11">
        <v>41827</v>
      </c>
      <c r="E34" s="27" t="s">
        <v>235</v>
      </c>
      <c r="F34" s="27" t="s">
        <v>235</v>
      </c>
      <c r="G34" s="27" t="s">
        <v>256</v>
      </c>
      <c r="H34" s="12">
        <v>0.71348379629629621</v>
      </c>
      <c r="I34" s="7" t="s">
        <v>82</v>
      </c>
    </row>
    <row r="35" spans="1:9" x14ac:dyDescent="0.2">
      <c r="A35" s="17">
        <v>34</v>
      </c>
      <c r="B35" s="10">
        <v>38.394081965088802</v>
      </c>
      <c r="C35" s="10">
        <f>-28.4716949611902</f>
        <v>-28.471694961190199</v>
      </c>
      <c r="D35" s="11">
        <v>41829</v>
      </c>
      <c r="E35" s="27" t="s">
        <v>238</v>
      </c>
      <c r="F35" s="27" t="s">
        <v>235</v>
      </c>
      <c r="G35" s="27" t="s">
        <v>256</v>
      </c>
      <c r="H35" s="12">
        <v>0.50650462962962961</v>
      </c>
      <c r="I35" s="7" t="s">
        <v>84</v>
      </c>
    </row>
    <row r="36" spans="1:9" x14ac:dyDescent="0.2">
      <c r="A36" s="17">
        <v>35</v>
      </c>
      <c r="B36" s="10">
        <v>38.379627037793298</v>
      </c>
      <c r="C36" s="10">
        <f>-28.4471830073744</f>
        <v>-28.447183007374399</v>
      </c>
      <c r="D36" s="11">
        <v>41829</v>
      </c>
      <c r="E36" s="27" t="s">
        <v>238</v>
      </c>
      <c r="F36" s="27" t="s">
        <v>235</v>
      </c>
      <c r="G36" s="27" t="s">
        <v>256</v>
      </c>
      <c r="H36" s="12">
        <v>0.517511574074074</v>
      </c>
      <c r="I36" s="7" t="s">
        <v>87</v>
      </c>
    </row>
    <row r="37" spans="1:9" x14ac:dyDescent="0.2">
      <c r="A37" s="17">
        <v>36</v>
      </c>
      <c r="B37" s="10">
        <v>38.295119013637297</v>
      </c>
      <c r="C37" s="10">
        <f>-28.3841319847851</f>
        <v>-28.3841319847851</v>
      </c>
      <c r="D37" s="11">
        <v>41835</v>
      </c>
      <c r="E37" s="27" t="s">
        <v>257</v>
      </c>
      <c r="F37" s="27" t="s">
        <v>235</v>
      </c>
      <c r="G37" s="27" t="s">
        <v>256</v>
      </c>
      <c r="H37" s="12">
        <v>0.6994097222222222</v>
      </c>
      <c r="I37" s="7" t="s">
        <v>90</v>
      </c>
    </row>
    <row r="38" spans="1:9" x14ac:dyDescent="0.2">
      <c r="A38" s="17">
        <v>37</v>
      </c>
      <c r="B38" s="10">
        <v>38.365589026361697</v>
      </c>
      <c r="C38" s="10">
        <f>-28.1764050386846</f>
        <v>-28.176405038684599</v>
      </c>
      <c r="D38" s="11">
        <v>41843</v>
      </c>
      <c r="E38" s="27" t="s">
        <v>248</v>
      </c>
      <c r="F38" s="27" t="s">
        <v>235</v>
      </c>
      <c r="G38" s="27" t="s">
        <v>256</v>
      </c>
      <c r="H38" s="12">
        <v>0.45273148148148151</v>
      </c>
      <c r="I38" s="7" t="s">
        <v>93</v>
      </c>
    </row>
    <row r="39" spans="1:9" x14ac:dyDescent="0.2">
      <c r="A39" s="17">
        <v>38</v>
      </c>
      <c r="B39" s="10">
        <v>38.3266020286828</v>
      </c>
      <c r="C39" s="10">
        <f>-28.2373350206762</f>
        <v>-28.237335020676198</v>
      </c>
      <c r="D39" s="11">
        <v>42181</v>
      </c>
      <c r="E39" s="27" t="s">
        <v>258</v>
      </c>
      <c r="F39" s="27" t="s">
        <v>259</v>
      </c>
      <c r="G39" s="27" t="s">
        <v>260</v>
      </c>
      <c r="H39" s="12">
        <v>0.69045138888888891</v>
      </c>
      <c r="I39" s="7" t="s">
        <v>95</v>
      </c>
    </row>
    <row r="40" spans="1:9" x14ac:dyDescent="0.2">
      <c r="A40" s="17">
        <v>39</v>
      </c>
      <c r="B40" s="10">
        <v>38.360539013519798</v>
      </c>
      <c r="C40" s="10">
        <f>-28.1879249587655</f>
        <v>-28.1879249587655</v>
      </c>
      <c r="D40" s="11">
        <v>42186</v>
      </c>
      <c r="E40" s="27" t="s">
        <v>245</v>
      </c>
      <c r="F40" s="27" t="s">
        <v>235</v>
      </c>
      <c r="G40" s="27" t="s">
        <v>260</v>
      </c>
      <c r="H40" s="12">
        <v>0.48350694444444442</v>
      </c>
      <c r="I40" s="7" t="s">
        <v>97</v>
      </c>
    </row>
    <row r="41" spans="1:9" x14ac:dyDescent="0.2">
      <c r="A41" s="17">
        <v>40</v>
      </c>
      <c r="B41" s="10">
        <v>38.392540030181401</v>
      </c>
      <c r="C41" s="10">
        <f>-28.4413679782301</f>
        <v>-28.441367978230101</v>
      </c>
      <c r="D41" s="11">
        <v>42186</v>
      </c>
      <c r="E41" s="27" t="s">
        <v>245</v>
      </c>
      <c r="F41" s="27" t="s">
        <v>235</v>
      </c>
      <c r="G41" s="27" t="s">
        <v>260</v>
      </c>
      <c r="H41" s="12">
        <v>0.67578703703703702</v>
      </c>
      <c r="I41" s="7" t="s">
        <v>99</v>
      </c>
    </row>
    <row r="42" spans="1:9" x14ac:dyDescent="0.2">
      <c r="A42" s="17">
        <v>41</v>
      </c>
      <c r="B42" s="10">
        <v>38.377854013815501</v>
      </c>
      <c r="C42" s="10">
        <f>-28.1679829861968</f>
        <v>-28.167982986196801</v>
      </c>
      <c r="D42" s="11">
        <v>42195</v>
      </c>
      <c r="E42" s="27" t="s">
        <v>239</v>
      </c>
      <c r="F42" s="27" t="s">
        <v>235</v>
      </c>
      <c r="G42" s="27" t="s">
        <v>260</v>
      </c>
      <c r="H42" s="12">
        <v>0.45606481481481481</v>
      </c>
      <c r="I42" s="7" t="s">
        <v>102</v>
      </c>
    </row>
    <row r="43" spans="1:9" x14ac:dyDescent="0.2">
      <c r="A43" s="17">
        <v>42</v>
      </c>
      <c r="B43" s="10">
        <v>38.199428021907799</v>
      </c>
      <c r="C43" s="10">
        <f>-28.1795350089669</f>
        <v>-28.179535008966901</v>
      </c>
      <c r="D43" s="11">
        <v>42206</v>
      </c>
      <c r="E43" s="27" t="s">
        <v>242</v>
      </c>
      <c r="F43" s="27" t="s">
        <v>235</v>
      </c>
      <c r="G43" s="27" t="s">
        <v>260</v>
      </c>
      <c r="H43" s="12">
        <v>0.68925925925925924</v>
      </c>
      <c r="I43" s="7" t="s">
        <v>105</v>
      </c>
    </row>
    <row r="44" spans="1:9" x14ac:dyDescent="0.2">
      <c r="A44" s="17">
        <v>43</v>
      </c>
      <c r="B44" s="10">
        <v>38.352763960137899</v>
      </c>
      <c r="C44" s="10">
        <f>-28.2280359696596</f>
        <v>-28.228035969659601</v>
      </c>
      <c r="D44" s="11">
        <v>42211</v>
      </c>
      <c r="E44" s="27" t="s">
        <v>258</v>
      </c>
      <c r="F44" s="27" t="s">
        <v>235</v>
      </c>
      <c r="G44" s="27" t="s">
        <v>260</v>
      </c>
      <c r="H44" s="12">
        <v>0.46694444444444444</v>
      </c>
      <c r="I44" s="7" t="s">
        <v>107</v>
      </c>
    </row>
    <row r="45" spans="1:9" x14ac:dyDescent="0.2">
      <c r="A45" s="17">
        <v>44</v>
      </c>
      <c r="B45" s="10">
        <v>38.365936959162298</v>
      </c>
      <c r="C45" s="10">
        <f>-28.313039029017</f>
        <v>-28.313039029016998</v>
      </c>
      <c r="D45" s="11">
        <v>42245</v>
      </c>
      <c r="E45" s="27" t="s">
        <v>261</v>
      </c>
      <c r="F45" s="27" t="s">
        <v>246</v>
      </c>
      <c r="G45" s="27" t="s">
        <v>260</v>
      </c>
      <c r="H45" s="12">
        <v>0.46626157407407409</v>
      </c>
      <c r="I45" s="7" t="s">
        <v>109</v>
      </c>
    </row>
    <row r="46" spans="1:9" x14ac:dyDescent="0.2">
      <c r="A46" s="17">
        <v>45</v>
      </c>
      <c r="B46" s="10">
        <v>38.339085029438102</v>
      </c>
      <c r="C46" s="10">
        <f>-28.3431289717555</f>
        <v>-28.343128971755501</v>
      </c>
      <c r="D46" s="11">
        <v>42251</v>
      </c>
      <c r="E46" s="27" t="s">
        <v>237</v>
      </c>
      <c r="F46" s="27" t="s">
        <v>238</v>
      </c>
      <c r="G46" s="27" t="s">
        <v>260</v>
      </c>
      <c r="H46" s="12">
        <v>0.68541666666666667</v>
      </c>
      <c r="I46" s="7" t="s">
        <v>112</v>
      </c>
    </row>
    <row r="47" spans="1:9" x14ac:dyDescent="0.2">
      <c r="A47" s="17">
        <v>46</v>
      </c>
      <c r="B47" s="10">
        <v>38.3909519948065</v>
      </c>
      <c r="C47" s="10">
        <f>-28.4189449623227</f>
        <v>-28.418944962322701</v>
      </c>
      <c r="D47" s="11">
        <v>42283</v>
      </c>
      <c r="E47" s="27" t="s">
        <v>259</v>
      </c>
      <c r="F47" s="27" t="s">
        <v>239</v>
      </c>
      <c r="G47" s="27" t="s">
        <v>260</v>
      </c>
      <c r="H47" s="12">
        <v>0.7374074074074074</v>
      </c>
      <c r="I47" s="7" t="s">
        <v>114</v>
      </c>
    </row>
    <row r="48" spans="1:9" x14ac:dyDescent="0.2">
      <c r="A48" s="17">
        <v>47</v>
      </c>
      <c r="B48" s="10">
        <v>38.312099995091501</v>
      </c>
      <c r="C48" s="10">
        <f>-28.3599510323256</f>
        <v>-28.359951032325601</v>
      </c>
      <c r="D48" s="11">
        <v>42295</v>
      </c>
      <c r="E48" s="27" t="s">
        <v>240</v>
      </c>
      <c r="F48" s="27" t="s">
        <v>239</v>
      </c>
      <c r="G48" s="27" t="s">
        <v>260</v>
      </c>
      <c r="H48" s="12">
        <v>0.43119212962962966</v>
      </c>
      <c r="I48" s="7" t="s">
        <v>116</v>
      </c>
    </row>
    <row r="49" spans="1:9" x14ac:dyDescent="0.2">
      <c r="A49" s="17">
        <v>48</v>
      </c>
      <c r="B49" s="10">
        <v>38.270339006557997</v>
      </c>
      <c r="C49" s="10">
        <f>-28.4096409659832</f>
        <v>-28.409640965983201</v>
      </c>
      <c r="D49" s="11">
        <v>42476</v>
      </c>
      <c r="E49" s="27" t="s">
        <v>262</v>
      </c>
      <c r="F49" s="27" t="s">
        <v>237</v>
      </c>
      <c r="G49" s="27" t="s">
        <v>263</v>
      </c>
      <c r="H49" s="12">
        <v>0.48231481481481481</v>
      </c>
      <c r="I49" s="7" t="s">
        <v>118</v>
      </c>
    </row>
    <row r="50" spans="1:9" x14ac:dyDescent="0.2">
      <c r="A50" s="17">
        <v>49</v>
      </c>
      <c r="B50" s="10">
        <v>38.362244982272301</v>
      </c>
      <c r="C50" s="10">
        <f>-28.28388299793</f>
        <v>-28.28388299793</v>
      </c>
      <c r="D50" s="11">
        <v>42477</v>
      </c>
      <c r="E50" s="27" t="s">
        <v>247</v>
      </c>
      <c r="F50" s="27" t="s">
        <v>237</v>
      </c>
      <c r="G50" s="27" t="s">
        <v>263</v>
      </c>
      <c r="H50" s="12">
        <v>0.48561342592592593</v>
      </c>
      <c r="I50" s="7" t="s">
        <v>120</v>
      </c>
    </row>
    <row r="51" spans="1:9" x14ac:dyDescent="0.2">
      <c r="A51" s="17">
        <v>50</v>
      </c>
      <c r="B51" s="10">
        <v>38.370491014793501</v>
      </c>
      <c r="C51" s="10">
        <f>-28.3152990415692</f>
        <v>-28.315299041569201</v>
      </c>
      <c r="D51" s="11">
        <v>42549</v>
      </c>
      <c r="E51" s="27" t="s">
        <v>252</v>
      </c>
      <c r="F51" s="27" t="s">
        <v>259</v>
      </c>
      <c r="G51" s="27" t="s">
        <v>263</v>
      </c>
      <c r="H51" s="12">
        <v>0.40813657407407411</v>
      </c>
      <c r="I51" s="7" t="s">
        <v>122</v>
      </c>
    </row>
    <row r="52" spans="1:9" x14ac:dyDescent="0.2">
      <c r="A52" s="17">
        <v>51</v>
      </c>
      <c r="B52" s="10">
        <v>38.341574035584898</v>
      </c>
      <c r="C52" s="10">
        <f>-28.2816959917545</f>
        <v>-28.2816959917545</v>
      </c>
      <c r="D52" s="11">
        <v>42555</v>
      </c>
      <c r="E52" s="27" t="s">
        <v>237</v>
      </c>
      <c r="F52" s="27" t="s">
        <v>235</v>
      </c>
      <c r="G52" s="27" t="s">
        <v>263</v>
      </c>
      <c r="H52" s="12">
        <v>0.45968750000000003</v>
      </c>
      <c r="I52" s="7" t="s">
        <v>125</v>
      </c>
    </row>
    <row r="53" spans="1:9" x14ac:dyDescent="0.2">
      <c r="A53" s="17">
        <v>52</v>
      </c>
      <c r="B53" s="10">
        <v>38.3364090230315</v>
      </c>
      <c r="C53" s="10">
        <f>-28.2954060193151</f>
        <v>-28.295406019315099</v>
      </c>
      <c r="D53" s="11">
        <v>42555</v>
      </c>
      <c r="E53" s="27" t="s">
        <v>237</v>
      </c>
      <c r="F53" s="27" t="s">
        <v>235</v>
      </c>
      <c r="G53" s="27" t="s">
        <v>263</v>
      </c>
      <c r="H53" s="12">
        <v>0.73957175925925922</v>
      </c>
      <c r="I53" s="7" t="s">
        <v>127</v>
      </c>
    </row>
    <row r="54" spans="1:9" x14ac:dyDescent="0.2">
      <c r="A54" s="17">
        <v>53</v>
      </c>
      <c r="B54" s="10">
        <v>38.364581018686202</v>
      </c>
      <c r="C54" s="10">
        <f>-28.1455909833312</f>
        <v>-28.1455909833312</v>
      </c>
      <c r="D54" s="11">
        <v>42559</v>
      </c>
      <c r="E54" s="27" t="s">
        <v>246</v>
      </c>
      <c r="F54" s="27" t="s">
        <v>235</v>
      </c>
      <c r="G54" s="27" t="s">
        <v>263</v>
      </c>
      <c r="H54" s="12">
        <v>0.48177083333333331</v>
      </c>
      <c r="I54" s="7" t="s">
        <v>129</v>
      </c>
    </row>
    <row r="55" spans="1:9" x14ac:dyDescent="0.2">
      <c r="A55" s="17">
        <v>54</v>
      </c>
      <c r="B55" s="10">
        <v>38.339898996055098</v>
      </c>
      <c r="C55" s="10">
        <f>-28.2799430005252</f>
        <v>-28.279943000525201</v>
      </c>
      <c r="D55" s="11">
        <v>42562</v>
      </c>
      <c r="E55" s="27" t="s">
        <v>264</v>
      </c>
      <c r="F55" s="27" t="s">
        <v>235</v>
      </c>
      <c r="G55" s="27" t="s">
        <v>263</v>
      </c>
      <c r="H55" s="12">
        <v>0.70807870370370374</v>
      </c>
      <c r="I55" s="7" t="s">
        <v>131</v>
      </c>
    </row>
    <row r="56" spans="1:9" x14ac:dyDescent="0.2">
      <c r="A56" s="17">
        <v>55</v>
      </c>
      <c r="B56" s="10">
        <v>38.342795027419903</v>
      </c>
      <c r="C56" s="10">
        <f>-28.1475459784269</f>
        <v>-28.147545978426901</v>
      </c>
      <c r="D56" s="11">
        <v>42565</v>
      </c>
      <c r="E56" s="27" t="s">
        <v>265</v>
      </c>
      <c r="F56" s="27" t="s">
        <v>235</v>
      </c>
      <c r="G56" s="27" t="s">
        <v>263</v>
      </c>
      <c r="H56" s="12">
        <v>0.51158564814814811</v>
      </c>
      <c r="I56" s="7" t="s">
        <v>134</v>
      </c>
    </row>
    <row r="57" spans="1:9" x14ac:dyDescent="0.2">
      <c r="A57" s="17">
        <v>56</v>
      </c>
      <c r="B57" s="10">
        <v>38.280793000012601</v>
      </c>
      <c r="C57" s="10">
        <f>-28.3163000084459</f>
        <v>-28.3163000084459</v>
      </c>
      <c r="D57" s="11">
        <v>42565</v>
      </c>
      <c r="E57" s="27" t="s">
        <v>265</v>
      </c>
      <c r="F57" s="27" t="s">
        <v>235</v>
      </c>
      <c r="G57" s="27" t="s">
        <v>263</v>
      </c>
      <c r="H57" s="12">
        <v>0.64962962962962967</v>
      </c>
      <c r="I57" s="7" t="s">
        <v>137</v>
      </c>
    </row>
    <row r="58" spans="1:9" x14ac:dyDescent="0.2">
      <c r="A58" s="17">
        <v>57</v>
      </c>
      <c r="B58" s="10">
        <v>38.234320962801498</v>
      </c>
      <c r="C58" s="10">
        <f>-28.2905470300465</f>
        <v>-28.290547030046501</v>
      </c>
      <c r="D58" s="11">
        <v>42565</v>
      </c>
      <c r="E58" s="27" t="s">
        <v>265</v>
      </c>
      <c r="F58" s="27" t="s">
        <v>235</v>
      </c>
      <c r="G58" s="27" t="s">
        <v>263</v>
      </c>
      <c r="H58" s="12">
        <v>0.70892361111111113</v>
      </c>
      <c r="I58" s="7" t="s">
        <v>139</v>
      </c>
    </row>
    <row r="59" spans="1:9" x14ac:dyDescent="0.2">
      <c r="A59" s="17">
        <v>58</v>
      </c>
      <c r="B59" s="10">
        <v>38.379631983116198</v>
      </c>
      <c r="C59" s="10">
        <f>-28.1353239901363</f>
        <v>-28.1353239901363</v>
      </c>
      <c r="D59" s="11">
        <v>42569</v>
      </c>
      <c r="E59" s="27" t="s">
        <v>240</v>
      </c>
      <c r="F59" s="27" t="s">
        <v>235</v>
      </c>
      <c r="G59" s="27" t="s">
        <v>263</v>
      </c>
      <c r="H59" s="12">
        <v>0.5433796296296296</v>
      </c>
      <c r="I59" s="7" t="s">
        <v>142</v>
      </c>
    </row>
    <row r="60" spans="1:9" x14ac:dyDescent="0.2">
      <c r="A60" s="17">
        <v>59</v>
      </c>
      <c r="B60" s="10">
        <v>38.3781560137867</v>
      </c>
      <c r="C60" s="10">
        <f>-28.1474700383841</f>
        <v>-28.1474700383841</v>
      </c>
      <c r="D60" s="11">
        <v>42569</v>
      </c>
      <c r="E60" s="27" t="s">
        <v>240</v>
      </c>
      <c r="F60" s="27" t="s">
        <v>235</v>
      </c>
      <c r="G60" s="27" t="s">
        <v>263</v>
      </c>
      <c r="H60" s="12">
        <v>0.66346064814814809</v>
      </c>
      <c r="I60" s="7" t="s">
        <v>144</v>
      </c>
    </row>
    <row r="61" spans="1:9" x14ac:dyDescent="0.2">
      <c r="A61" s="17">
        <v>60</v>
      </c>
      <c r="B61" s="10">
        <v>38.328913003206203</v>
      </c>
      <c r="C61" s="10">
        <f>-28.055007001385</f>
        <v>-28.055007001385</v>
      </c>
      <c r="D61" s="11">
        <v>42573</v>
      </c>
      <c r="E61" s="27" t="s">
        <v>243</v>
      </c>
      <c r="F61" s="27" t="s">
        <v>235</v>
      </c>
      <c r="G61" s="27" t="s">
        <v>263</v>
      </c>
      <c r="H61" s="12">
        <v>0.65098379629629632</v>
      </c>
      <c r="I61" s="7" t="s">
        <v>145</v>
      </c>
    </row>
    <row r="62" spans="1:9" x14ac:dyDescent="0.2">
      <c r="A62" s="17">
        <v>61</v>
      </c>
      <c r="B62" s="10">
        <v>38.358255028724599</v>
      </c>
      <c r="C62" s="10">
        <f>-28.1413420289754</f>
        <v>-28.141342028975401</v>
      </c>
      <c r="D62" s="11">
        <v>42575</v>
      </c>
      <c r="E62" s="27" t="s">
        <v>249</v>
      </c>
      <c r="F62" s="27" t="s">
        <v>235</v>
      </c>
      <c r="G62" s="27" t="s">
        <v>263</v>
      </c>
      <c r="H62" s="12">
        <v>0.43922453703703707</v>
      </c>
      <c r="I62" s="7" t="s">
        <v>147</v>
      </c>
    </row>
    <row r="63" spans="1:9" x14ac:dyDescent="0.2">
      <c r="A63" s="17">
        <v>62</v>
      </c>
      <c r="B63" s="10">
        <v>38.290528999641502</v>
      </c>
      <c r="C63" s="10">
        <f>-28.3277620095759</f>
        <v>-28.327762009575899</v>
      </c>
      <c r="D63" s="11">
        <v>42576</v>
      </c>
      <c r="E63" s="27" t="s">
        <v>250</v>
      </c>
      <c r="F63" s="27" t="s">
        <v>235</v>
      </c>
      <c r="G63" s="27" t="s">
        <v>263</v>
      </c>
      <c r="H63" s="12">
        <v>0.63545138888888886</v>
      </c>
      <c r="I63" s="7" t="s">
        <v>149</v>
      </c>
    </row>
    <row r="64" spans="1:9" x14ac:dyDescent="0.2">
      <c r="A64" s="17">
        <v>63</v>
      </c>
      <c r="B64" s="10">
        <v>38.336452022194798</v>
      </c>
      <c r="C64" s="10">
        <f>-28.0889650247991</f>
        <v>-28.088965024799101</v>
      </c>
      <c r="D64" s="11">
        <v>42582</v>
      </c>
      <c r="E64" s="27" t="s">
        <v>244</v>
      </c>
      <c r="F64" s="27" t="s">
        <v>235</v>
      </c>
      <c r="G64" s="27" t="s">
        <v>263</v>
      </c>
      <c r="H64" s="12">
        <v>0.43703703703703706</v>
      </c>
      <c r="I64" s="7" t="s">
        <v>152</v>
      </c>
    </row>
    <row r="65" spans="1:9" x14ac:dyDescent="0.2">
      <c r="A65" s="17">
        <v>64</v>
      </c>
      <c r="B65" s="10">
        <v>38.334744041785498</v>
      </c>
      <c r="C65" s="10">
        <f>-28.2903180364519</f>
        <v>-28.2903180364519</v>
      </c>
      <c r="D65" s="11">
        <v>42587</v>
      </c>
      <c r="E65" s="27" t="s">
        <v>266</v>
      </c>
      <c r="F65" s="27" t="s">
        <v>246</v>
      </c>
      <c r="G65" s="27" t="s">
        <v>263</v>
      </c>
      <c r="H65" s="12">
        <v>0.4571412037037037</v>
      </c>
      <c r="I65" s="7" t="s">
        <v>154</v>
      </c>
    </row>
    <row r="66" spans="1:9" x14ac:dyDescent="0.2">
      <c r="A66" s="17">
        <v>65</v>
      </c>
      <c r="B66" s="10">
        <v>38.382992958649901</v>
      </c>
      <c r="C66" s="10">
        <f>-28.5032120067626</f>
        <v>-28.503212006762599</v>
      </c>
      <c r="D66" s="11">
        <v>42618</v>
      </c>
      <c r="E66" s="27" t="s">
        <v>266</v>
      </c>
      <c r="F66" s="27" t="s">
        <v>238</v>
      </c>
      <c r="G66" s="27" t="s">
        <v>263</v>
      </c>
      <c r="H66" s="12">
        <v>0.77284722222222213</v>
      </c>
      <c r="I66" s="7" t="s">
        <v>156</v>
      </c>
    </row>
    <row r="67" spans="1:9" x14ac:dyDescent="0.2">
      <c r="A67" s="17">
        <v>66</v>
      </c>
      <c r="B67" s="10">
        <v>38.3572010044008</v>
      </c>
      <c r="C67" s="10">
        <f>-28.3724529761821</f>
        <v>-28.3724529761821</v>
      </c>
      <c r="D67" s="11">
        <v>42932</v>
      </c>
      <c r="E67" s="27" t="s">
        <v>262</v>
      </c>
      <c r="F67" s="27" t="s">
        <v>235</v>
      </c>
      <c r="G67" s="27" t="s">
        <v>267</v>
      </c>
      <c r="H67" s="12">
        <v>0.40834490740740742</v>
      </c>
      <c r="I67" s="7" t="s">
        <v>159</v>
      </c>
    </row>
    <row r="68" spans="1:9" x14ac:dyDescent="0.2">
      <c r="A68" s="17">
        <v>67</v>
      </c>
      <c r="B68" s="10">
        <v>38.363541997969101</v>
      </c>
      <c r="C68" s="10">
        <f>-28.445591032505</f>
        <v>-28.445591032505</v>
      </c>
      <c r="D68" s="11">
        <v>42938</v>
      </c>
      <c r="E68" s="27" t="s">
        <v>243</v>
      </c>
      <c r="F68" s="27" t="s">
        <v>235</v>
      </c>
      <c r="G68" s="27" t="s">
        <v>267</v>
      </c>
      <c r="H68" s="12">
        <v>0.46995370370370365</v>
      </c>
      <c r="I68" s="7" t="s">
        <v>161</v>
      </c>
    </row>
    <row r="69" spans="1:9" x14ac:dyDescent="0.2">
      <c r="A69" s="17">
        <v>68</v>
      </c>
      <c r="B69" s="10">
        <v>38.385120034217799</v>
      </c>
      <c r="C69" s="10">
        <f>-28.2878889609128</f>
        <v>-28.287888960912799</v>
      </c>
      <c r="D69" s="11">
        <v>42959</v>
      </c>
      <c r="E69" s="27" t="s">
        <v>255</v>
      </c>
      <c r="F69" s="27" t="s">
        <v>246</v>
      </c>
      <c r="G69" s="27" t="s">
        <v>267</v>
      </c>
      <c r="H69" s="12">
        <v>0.3807638888888889</v>
      </c>
      <c r="I69" s="7" t="s">
        <v>163</v>
      </c>
    </row>
    <row r="70" spans="1:9" x14ac:dyDescent="0.2">
      <c r="A70" s="17">
        <v>69</v>
      </c>
      <c r="B70" s="10">
        <v>38.386848969384999</v>
      </c>
      <c r="C70" s="10">
        <f>-28.3811470214277</f>
        <v>-28.381147021427701</v>
      </c>
      <c r="D70" s="11">
        <v>42965</v>
      </c>
      <c r="E70" s="27" t="s">
        <v>240</v>
      </c>
      <c r="F70" s="27" t="s">
        <v>246</v>
      </c>
      <c r="G70" s="27" t="s">
        <v>267</v>
      </c>
      <c r="H70" s="12">
        <v>0.44225694444444441</v>
      </c>
      <c r="I70" s="7" t="s">
        <v>165</v>
      </c>
    </row>
    <row r="71" spans="1:9" x14ac:dyDescent="0.2">
      <c r="A71" s="17">
        <v>70</v>
      </c>
      <c r="B71" s="10">
        <v>38.34242798388</v>
      </c>
      <c r="C71" s="10">
        <f>-28.1918760202825</f>
        <v>-28.1918760202825</v>
      </c>
      <c r="D71" s="11">
        <v>43279</v>
      </c>
      <c r="E71" s="27" t="s">
        <v>252</v>
      </c>
      <c r="F71" s="27" t="s">
        <v>259</v>
      </c>
      <c r="G71" s="27" t="s">
        <v>268</v>
      </c>
      <c r="H71" s="12">
        <v>0.63442129629629629</v>
      </c>
      <c r="I71" s="7" t="s">
        <v>167</v>
      </c>
    </row>
    <row r="72" spans="1:9" x14ac:dyDescent="0.2">
      <c r="A72" s="17">
        <v>71</v>
      </c>
      <c r="B72" s="10">
        <v>38.370267972350099</v>
      </c>
      <c r="C72" s="10">
        <f>-28.3455400262027</f>
        <v>-28.345540026202698</v>
      </c>
      <c r="D72" s="11">
        <v>43285</v>
      </c>
      <c r="E72" s="27" t="s">
        <v>237</v>
      </c>
      <c r="F72" s="27" t="s">
        <v>235</v>
      </c>
      <c r="G72" s="27" t="s">
        <v>268</v>
      </c>
      <c r="H72" s="12">
        <v>0.65997685185185184</v>
      </c>
      <c r="I72" s="7" t="s">
        <v>170</v>
      </c>
    </row>
    <row r="73" spans="1:9" x14ac:dyDescent="0.2">
      <c r="A73" s="17">
        <v>72</v>
      </c>
      <c r="B73" s="10">
        <v>38.367011016234699</v>
      </c>
      <c r="C73" s="10">
        <f>-28.1950069963932</f>
        <v>-28.1950069963932</v>
      </c>
      <c r="D73" s="11">
        <v>43285</v>
      </c>
      <c r="E73" s="27" t="s">
        <v>237</v>
      </c>
      <c r="F73" s="27" t="s">
        <v>235</v>
      </c>
      <c r="G73" s="27" t="s">
        <v>268</v>
      </c>
      <c r="H73" s="12">
        <v>0.37634259259259256</v>
      </c>
      <c r="I73" s="7" t="s">
        <v>172</v>
      </c>
    </row>
    <row r="74" spans="1:9" x14ac:dyDescent="0.2">
      <c r="A74" s="17">
        <v>73</v>
      </c>
      <c r="B74" s="10">
        <v>38.396023968234601</v>
      </c>
      <c r="C74" s="10">
        <f>-28.460473017767</f>
        <v>-28.460473017767001</v>
      </c>
      <c r="D74" s="11">
        <v>43288</v>
      </c>
      <c r="E74" s="27" t="s">
        <v>235</v>
      </c>
      <c r="F74" s="27" t="s">
        <v>235</v>
      </c>
      <c r="G74" s="27" t="s">
        <v>268</v>
      </c>
      <c r="H74" s="12">
        <v>0.45849537037037041</v>
      </c>
      <c r="I74" s="7" t="s">
        <v>175</v>
      </c>
    </row>
    <row r="75" spans="1:9" x14ac:dyDescent="0.2">
      <c r="A75" s="17">
        <v>74</v>
      </c>
      <c r="B75" s="10">
        <v>38.302834974601801</v>
      </c>
      <c r="C75" s="10">
        <f>-28.0097950156778</f>
        <v>-28.009795015677799</v>
      </c>
      <c r="D75" s="11">
        <v>43292</v>
      </c>
      <c r="E75" s="27" t="s">
        <v>264</v>
      </c>
      <c r="F75" s="27" t="s">
        <v>235</v>
      </c>
      <c r="G75" s="27" t="s">
        <v>268</v>
      </c>
      <c r="H75" s="12">
        <v>0.47538194444444448</v>
      </c>
      <c r="I75" s="7" t="s">
        <v>178</v>
      </c>
    </row>
    <row r="76" spans="1:9" x14ac:dyDescent="0.2">
      <c r="A76" s="17">
        <v>75</v>
      </c>
      <c r="B76" s="10">
        <v>38.348562028259003</v>
      </c>
      <c r="C76" s="10">
        <f>-28.3177209924906</f>
        <v>-28.317720992490599</v>
      </c>
      <c r="D76" s="11">
        <v>43297</v>
      </c>
      <c r="E76" s="27" t="s">
        <v>262</v>
      </c>
      <c r="F76" s="27" t="s">
        <v>235</v>
      </c>
      <c r="G76" s="27" t="s">
        <v>268</v>
      </c>
      <c r="H76" s="12">
        <v>0.60481481481481481</v>
      </c>
      <c r="I76" s="7" t="s">
        <v>182</v>
      </c>
    </row>
    <row r="77" spans="1:9" x14ac:dyDescent="0.2">
      <c r="A77" s="17">
        <v>76</v>
      </c>
      <c r="B77" s="10">
        <v>38.336590994149397</v>
      </c>
      <c r="C77" s="10">
        <f>-28.1181860156357</f>
        <v>-28.1181860156357</v>
      </c>
      <c r="D77" s="11">
        <v>43304</v>
      </c>
      <c r="E77" s="27" t="s">
        <v>248</v>
      </c>
      <c r="F77" s="27" t="s">
        <v>235</v>
      </c>
      <c r="G77" s="27" t="s">
        <v>268</v>
      </c>
      <c r="H77" s="12">
        <v>0.45937500000000003</v>
      </c>
      <c r="I77" s="7" t="s">
        <v>184</v>
      </c>
    </row>
    <row r="78" spans="1:9" x14ac:dyDescent="0.2">
      <c r="A78" s="17">
        <v>77</v>
      </c>
      <c r="B78" s="10">
        <v>38.375814026221597</v>
      </c>
      <c r="C78" s="10">
        <f>-28.3389129582792</f>
        <v>-28.338912958279199</v>
      </c>
      <c r="D78" s="11">
        <v>43305</v>
      </c>
      <c r="E78" s="27" t="s">
        <v>249</v>
      </c>
      <c r="F78" s="27" t="s">
        <v>235</v>
      </c>
      <c r="G78" s="27" t="s">
        <v>268</v>
      </c>
      <c r="H78" s="12">
        <v>0.47274305555555557</v>
      </c>
      <c r="I78" s="7" t="s">
        <v>186</v>
      </c>
    </row>
    <row r="79" spans="1:9" x14ac:dyDescent="0.2">
      <c r="A79" s="17">
        <v>78</v>
      </c>
      <c r="B79" s="10">
        <v>38.378916000947299</v>
      </c>
      <c r="C79" s="10">
        <f>-28.394472990185</f>
        <v>-28.394472990185001</v>
      </c>
      <c r="D79" s="11">
        <v>43312</v>
      </c>
      <c r="E79" s="27" t="s">
        <v>244</v>
      </c>
      <c r="F79" s="27" t="s">
        <v>235</v>
      </c>
      <c r="G79" s="27" t="s">
        <v>268</v>
      </c>
      <c r="H79" s="12">
        <v>0.4836805555555555</v>
      </c>
      <c r="I79" s="7" t="s">
        <v>188</v>
      </c>
    </row>
    <row r="80" spans="1:9" x14ac:dyDescent="0.2">
      <c r="A80" s="17">
        <v>79</v>
      </c>
      <c r="B80" s="10">
        <v>38.380490038543897</v>
      </c>
      <c r="C80" s="10">
        <f>-28.4137200191617</f>
        <v>-28.413720019161701</v>
      </c>
      <c r="D80" s="11">
        <v>43313</v>
      </c>
      <c r="E80" s="27" t="s">
        <v>245</v>
      </c>
      <c r="F80" s="27" t="s">
        <v>246</v>
      </c>
      <c r="G80" s="27" t="s">
        <v>268</v>
      </c>
      <c r="H80" s="12">
        <v>0.41212962962962968</v>
      </c>
      <c r="I80" s="7" t="s">
        <v>191</v>
      </c>
    </row>
    <row r="81" spans="1:9" x14ac:dyDescent="0.2">
      <c r="A81" s="17">
        <v>80</v>
      </c>
      <c r="B81" s="10">
        <v>38.368079960346201</v>
      </c>
      <c r="C81" s="10">
        <f>-28.3982119895517</f>
        <v>-28.398211989551701</v>
      </c>
      <c r="D81" s="11">
        <v>43313</v>
      </c>
      <c r="E81" s="27" t="s">
        <v>245</v>
      </c>
      <c r="F81" s="27" t="s">
        <v>246</v>
      </c>
      <c r="G81" s="27" t="s">
        <v>268</v>
      </c>
      <c r="H81" s="12">
        <v>0.46211805555555557</v>
      </c>
      <c r="I81" s="7" t="s">
        <v>194</v>
      </c>
    </row>
    <row r="82" spans="1:9" x14ac:dyDescent="0.2">
      <c r="A82" s="17">
        <v>81</v>
      </c>
      <c r="B82" s="10">
        <v>38.346789004281099</v>
      </c>
      <c r="C82" s="10">
        <f>-28.1486549880355</f>
        <v>-28.148654988035499</v>
      </c>
      <c r="D82" s="11">
        <v>43314</v>
      </c>
      <c r="E82" s="27" t="s">
        <v>234</v>
      </c>
      <c r="F82" s="27" t="s">
        <v>246</v>
      </c>
      <c r="G82" s="27" t="s">
        <v>268</v>
      </c>
      <c r="H82" s="12">
        <v>0.42200231481481482</v>
      </c>
      <c r="I82" s="7" t="s">
        <v>197</v>
      </c>
    </row>
    <row r="83" spans="1:9" x14ac:dyDescent="0.2">
      <c r="A83" s="17">
        <v>82</v>
      </c>
      <c r="B83" s="10">
        <v>38.342767031863303</v>
      </c>
      <c r="C83" s="10">
        <f>-28.1409419607371</f>
        <v>-28.140941960737099</v>
      </c>
      <c r="D83" s="11">
        <v>43314</v>
      </c>
      <c r="E83" s="27" t="s">
        <v>234</v>
      </c>
      <c r="F83" s="27" t="s">
        <v>246</v>
      </c>
      <c r="G83" s="27" t="s">
        <v>268</v>
      </c>
      <c r="H83" s="12">
        <v>0.4274074074074074</v>
      </c>
      <c r="I83" s="7" t="s">
        <v>200</v>
      </c>
    </row>
    <row r="84" spans="1:9" x14ac:dyDescent="0.2">
      <c r="A84" s="17">
        <v>83</v>
      </c>
      <c r="B84" s="10">
        <v>38.353732991963597</v>
      </c>
      <c r="C84" s="10">
        <f>-28.3560080174356</f>
        <v>-28.356008017435599</v>
      </c>
      <c r="D84" s="11">
        <v>43314</v>
      </c>
      <c r="E84" s="27" t="s">
        <v>234</v>
      </c>
      <c r="F84" s="27" t="s">
        <v>246</v>
      </c>
      <c r="G84" s="27" t="s">
        <v>268</v>
      </c>
      <c r="H84" s="12">
        <v>0.61045138888888884</v>
      </c>
      <c r="I84" s="7" t="s">
        <v>203</v>
      </c>
    </row>
    <row r="85" spans="1:9" x14ac:dyDescent="0.2">
      <c r="A85" s="17">
        <v>84</v>
      </c>
      <c r="B85" s="10">
        <v>38.265280025079797</v>
      </c>
      <c r="C85" s="10">
        <f>-28.3637989964336</f>
        <v>-28.363798996433601</v>
      </c>
      <c r="D85" s="11">
        <v>43316</v>
      </c>
      <c r="E85" s="27" t="s">
        <v>237</v>
      </c>
      <c r="F85" s="27" t="s">
        <v>246</v>
      </c>
      <c r="G85" s="27" t="s">
        <v>268</v>
      </c>
      <c r="H85" s="12">
        <v>0.79912037037037031</v>
      </c>
      <c r="I85" s="7" t="s">
        <v>205</v>
      </c>
    </row>
    <row r="86" spans="1:9" x14ac:dyDescent="0.2">
      <c r="A86" s="17">
        <v>85</v>
      </c>
      <c r="B86" s="10">
        <v>38.335094992071298</v>
      </c>
      <c r="C86" s="10">
        <f>-28.0708659812808</f>
        <v>-28.0708659812808</v>
      </c>
      <c r="D86" s="11">
        <v>43319</v>
      </c>
      <c r="E86" s="27" t="s">
        <v>235</v>
      </c>
      <c r="F86" s="27" t="s">
        <v>246</v>
      </c>
      <c r="G86" s="27" t="s">
        <v>268</v>
      </c>
      <c r="H86" s="12">
        <v>0.47076388888888893</v>
      </c>
      <c r="I86" s="7" t="s">
        <v>208</v>
      </c>
    </row>
    <row r="87" spans="1:9" x14ac:dyDescent="0.2">
      <c r="A87" s="17">
        <v>86</v>
      </c>
      <c r="B87" s="10">
        <v>38.282354967668603</v>
      </c>
      <c r="C87" s="10">
        <f>-28.2923410087823</f>
        <v>-28.292341008782302</v>
      </c>
      <c r="D87" s="11">
        <v>43319</v>
      </c>
      <c r="E87" s="27" t="s">
        <v>235</v>
      </c>
      <c r="F87" s="27" t="s">
        <v>246</v>
      </c>
      <c r="G87" s="27" t="s">
        <v>268</v>
      </c>
      <c r="H87" s="12">
        <v>0.68166666666666664</v>
      </c>
      <c r="I87" s="7" t="s">
        <v>210</v>
      </c>
    </row>
    <row r="88" spans="1:9" x14ac:dyDescent="0.2">
      <c r="A88" s="17">
        <v>87</v>
      </c>
      <c r="B88" s="10">
        <v>38.3382080309093</v>
      </c>
      <c r="C88" s="10">
        <f>-28.4355820342898</f>
        <v>-28.435582034289801</v>
      </c>
      <c r="D88" s="11">
        <v>43320</v>
      </c>
      <c r="E88" s="27" t="s">
        <v>246</v>
      </c>
      <c r="F88" s="27" t="s">
        <v>246</v>
      </c>
      <c r="G88" s="27" t="s">
        <v>268</v>
      </c>
      <c r="H88" s="12">
        <v>0.45460648148148147</v>
      </c>
      <c r="I88" s="7" t="s">
        <v>213</v>
      </c>
    </row>
    <row r="89" spans="1:9" x14ac:dyDescent="0.2">
      <c r="A89" s="17">
        <v>88</v>
      </c>
      <c r="B89" s="10">
        <v>38.378434963524299</v>
      </c>
      <c r="C89" s="10">
        <f>-28.1290600262582</f>
        <v>-28.129060026258198</v>
      </c>
      <c r="D89" s="11">
        <v>43338</v>
      </c>
      <c r="E89" s="27" t="s">
        <v>258</v>
      </c>
      <c r="F89" s="27" t="s">
        <v>246</v>
      </c>
      <c r="G89" s="27" t="s">
        <v>268</v>
      </c>
      <c r="H89" s="12">
        <v>0.64565972222222223</v>
      </c>
      <c r="I89" s="7" t="s">
        <v>216</v>
      </c>
    </row>
    <row r="90" spans="1:9" x14ac:dyDescent="0.2">
      <c r="A90" s="17">
        <v>89</v>
      </c>
      <c r="B90" s="10">
        <v>38.368775993585501</v>
      </c>
      <c r="C90" s="10">
        <f>-28.5308769810944</f>
        <v>-28.530876981094401</v>
      </c>
      <c r="D90" s="11">
        <v>43339</v>
      </c>
      <c r="E90" s="27" t="s">
        <v>251</v>
      </c>
      <c r="F90" s="27" t="s">
        <v>246</v>
      </c>
      <c r="G90" s="27" t="s">
        <v>268</v>
      </c>
      <c r="H90" s="12">
        <v>0.45425925925925931</v>
      </c>
      <c r="I90" s="7" t="s">
        <v>219</v>
      </c>
    </row>
    <row r="91" spans="1:9" x14ac:dyDescent="0.2">
      <c r="A91" s="17">
        <v>90</v>
      </c>
      <c r="B91" s="10">
        <v>38.380360035225699</v>
      </c>
      <c r="C91" s="10">
        <f>-28.4443200007081</f>
        <v>-28.4443200007081</v>
      </c>
      <c r="D91" s="11">
        <v>43339</v>
      </c>
      <c r="E91" s="27" t="s">
        <v>251</v>
      </c>
      <c r="F91" s="27" t="s">
        <v>246</v>
      </c>
      <c r="G91" s="27" t="s">
        <v>268</v>
      </c>
      <c r="H91" s="12">
        <v>0.47738425925925926</v>
      </c>
      <c r="I91" s="7" t="s">
        <v>222</v>
      </c>
    </row>
    <row r="92" spans="1:9" x14ac:dyDescent="0.2">
      <c r="A92" s="17">
        <v>91</v>
      </c>
      <c r="B92" s="10">
        <v>38.345841011032398</v>
      </c>
      <c r="C92" s="10">
        <f>-28.1740099936723</f>
        <v>-28.1740099936723</v>
      </c>
      <c r="D92" s="11">
        <v>43356</v>
      </c>
      <c r="E92" s="27" t="s">
        <v>269</v>
      </c>
      <c r="F92" s="27" t="s">
        <v>238</v>
      </c>
      <c r="G92" s="27" t="s">
        <v>268</v>
      </c>
      <c r="H92" s="12">
        <v>0.38233796296296302</v>
      </c>
      <c r="I92" s="7" t="s">
        <v>225</v>
      </c>
    </row>
    <row r="93" spans="1:9" ht="17" thickBot="1" x14ac:dyDescent="0.25">
      <c r="A93" s="18">
        <v>92</v>
      </c>
      <c r="B93" s="19">
        <v>38.345358967781003</v>
      </c>
      <c r="C93" s="19">
        <f>-28.231099974364</f>
        <v>-28.231099974364</v>
      </c>
      <c r="D93" s="20">
        <v>43356</v>
      </c>
      <c r="E93" s="28" t="s">
        <v>269</v>
      </c>
      <c r="F93" s="28" t="s">
        <v>238</v>
      </c>
      <c r="G93" s="28" t="s">
        <v>268</v>
      </c>
      <c r="H93" s="21">
        <v>0.68237268518518512</v>
      </c>
      <c r="I93" s="22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7015-265F-B34C-A482-86702E650750}">
  <dimension ref="A1:AZ94"/>
  <sheetViews>
    <sheetView tabSelected="1" topLeftCell="AO1" zoomScale="121" zoomScaleNormal="121" workbookViewId="0">
      <pane ySplit="2" topLeftCell="A3" activePane="bottomLeft" state="frozen"/>
      <selection activeCell="J1" sqref="J1"/>
      <selection pane="bottomLeft" activeCell="BB12" sqref="BB12"/>
    </sheetView>
  </sheetViews>
  <sheetFormatPr baseColWidth="10" defaultRowHeight="16" x14ac:dyDescent="0.2"/>
  <cols>
    <col min="11" max="11" width="16.83203125" bestFit="1" customWidth="1"/>
    <col min="12" max="13" width="18.6640625" bestFit="1" customWidth="1"/>
    <col min="14" max="14" width="4" bestFit="1" customWidth="1"/>
    <col min="15" max="15" width="3.33203125" bestFit="1" customWidth="1"/>
    <col min="16" max="16" width="3.1640625" bestFit="1" customWidth="1"/>
    <col min="17" max="17" width="4.33203125" bestFit="1" customWidth="1"/>
    <col min="18" max="18" width="4.6640625" bestFit="1" customWidth="1"/>
    <col min="19" max="19" width="4.5" bestFit="1" customWidth="1"/>
    <col min="20" max="21" width="4.83203125" bestFit="1" customWidth="1"/>
    <col min="22" max="22" width="5.33203125" bestFit="1" customWidth="1"/>
    <col min="23" max="23" width="4.33203125" bestFit="1" customWidth="1"/>
    <col min="24" max="27" width="4.6640625" bestFit="1" customWidth="1"/>
    <col min="28" max="28" width="4.83203125" bestFit="1" customWidth="1"/>
    <col min="29" max="29" width="3.1640625" bestFit="1" customWidth="1"/>
    <col min="30" max="30" width="3.83203125" bestFit="1" customWidth="1"/>
    <col min="31" max="31" width="6" bestFit="1" customWidth="1"/>
    <col min="32" max="34" width="4.6640625" bestFit="1" customWidth="1"/>
    <col min="35" max="36" width="7.5" bestFit="1" customWidth="1"/>
    <col min="37" max="37" width="4.6640625" bestFit="1" customWidth="1"/>
    <col min="38" max="38" width="5.83203125" bestFit="1" customWidth="1"/>
    <col min="39" max="41" width="6" bestFit="1" customWidth="1"/>
    <col min="42" max="44" width="5.83203125" bestFit="1" customWidth="1"/>
    <col min="45" max="46" width="4.6640625" bestFit="1" customWidth="1"/>
    <col min="47" max="47" width="6" bestFit="1" customWidth="1"/>
    <col min="48" max="48" width="4.83203125" bestFit="1" customWidth="1"/>
    <col min="49" max="49" width="4.6640625" bestFit="1" customWidth="1"/>
    <col min="50" max="52" width="11" bestFit="1" customWidth="1"/>
  </cols>
  <sheetData>
    <row r="1" spans="1:52" ht="19" thickBot="1" x14ac:dyDescent="0.25">
      <c r="N1" s="30" t="s">
        <v>276</v>
      </c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 t="s">
        <v>277</v>
      </c>
      <c r="AF1" s="30"/>
      <c r="AG1" s="30"/>
      <c r="AH1" s="30"/>
      <c r="AI1" s="30"/>
      <c r="AJ1" s="30"/>
      <c r="AK1" s="30" t="s">
        <v>278</v>
      </c>
      <c r="AL1" s="30"/>
      <c r="AM1" s="30"/>
      <c r="AN1" s="30"/>
      <c r="AO1" s="30" t="s">
        <v>279</v>
      </c>
      <c r="AP1" s="30"/>
      <c r="AQ1" s="30"/>
      <c r="AR1" s="30"/>
      <c r="AS1" s="30"/>
      <c r="AT1" s="30"/>
      <c r="AU1" s="30"/>
      <c r="AV1" s="8"/>
      <c r="AW1" s="8"/>
      <c r="AX1" s="8"/>
      <c r="AY1" s="8"/>
      <c r="AZ1" s="9"/>
    </row>
    <row r="2" spans="1:52" ht="18" x14ac:dyDescent="0.2">
      <c r="A2" s="13" t="s">
        <v>230</v>
      </c>
      <c r="B2" s="5" t="s">
        <v>0</v>
      </c>
      <c r="C2" s="5" t="s">
        <v>1</v>
      </c>
      <c r="D2" s="5" t="s">
        <v>231</v>
      </c>
      <c r="E2" s="26" t="s">
        <v>311</v>
      </c>
      <c r="F2" s="5" t="s">
        <v>312</v>
      </c>
      <c r="G2" s="5" t="s">
        <v>313</v>
      </c>
      <c r="H2" s="5" t="s">
        <v>273</v>
      </c>
      <c r="I2" s="5" t="s">
        <v>274</v>
      </c>
      <c r="J2" s="5" t="s">
        <v>275</v>
      </c>
      <c r="K2" s="5" t="s">
        <v>2</v>
      </c>
      <c r="L2" s="5" t="s">
        <v>233</v>
      </c>
      <c r="M2" s="5"/>
      <c r="N2" s="14" t="s">
        <v>280</v>
      </c>
      <c r="O2" s="15" t="s">
        <v>14</v>
      </c>
      <c r="P2" s="15" t="s">
        <v>281</v>
      </c>
      <c r="Q2" s="15" t="s">
        <v>282</v>
      </c>
      <c r="R2" s="15" t="s">
        <v>283</v>
      </c>
      <c r="S2" s="15" t="s">
        <v>284</v>
      </c>
      <c r="T2" s="15" t="s">
        <v>285</v>
      </c>
      <c r="U2" s="15" t="s">
        <v>286</v>
      </c>
      <c r="V2" s="15" t="s">
        <v>287</v>
      </c>
      <c r="W2" s="15" t="s">
        <v>288</v>
      </c>
      <c r="X2" s="15" t="s">
        <v>289</v>
      </c>
      <c r="Y2" s="15" t="s">
        <v>290</v>
      </c>
      <c r="Z2" s="15" t="s">
        <v>291</v>
      </c>
      <c r="AA2" s="15" t="s">
        <v>292</v>
      </c>
      <c r="AB2" s="15" t="s">
        <v>293</v>
      </c>
      <c r="AC2" s="15" t="s">
        <v>294</v>
      </c>
      <c r="AD2" s="15" t="s">
        <v>295</v>
      </c>
      <c r="AE2" s="15" t="s">
        <v>296</v>
      </c>
      <c r="AF2" s="15" t="s">
        <v>297</v>
      </c>
      <c r="AG2" s="15" t="s">
        <v>298</v>
      </c>
      <c r="AH2" s="15" t="s">
        <v>299</v>
      </c>
      <c r="AI2" s="15" t="s">
        <v>300</v>
      </c>
      <c r="AJ2" s="15" t="s">
        <v>295</v>
      </c>
      <c r="AK2" s="15" t="s">
        <v>301</v>
      </c>
      <c r="AL2" s="16" t="s">
        <v>302</v>
      </c>
      <c r="AM2" s="15" t="s">
        <v>303</v>
      </c>
      <c r="AN2" s="15" t="s">
        <v>304</v>
      </c>
      <c r="AO2" s="15">
        <v>0</v>
      </c>
      <c r="AP2" s="15">
        <v>1</v>
      </c>
      <c r="AQ2" s="15">
        <v>2</v>
      </c>
      <c r="AR2" s="15">
        <v>3</v>
      </c>
      <c r="AS2" s="15">
        <v>4</v>
      </c>
      <c r="AT2" s="15">
        <v>5</v>
      </c>
      <c r="AU2" s="15" t="s">
        <v>295</v>
      </c>
      <c r="AV2" s="15" t="s">
        <v>305</v>
      </c>
      <c r="AW2" s="15" t="s">
        <v>306</v>
      </c>
      <c r="AX2" s="15" t="s">
        <v>307</v>
      </c>
      <c r="AY2" s="15" t="s">
        <v>308</v>
      </c>
      <c r="AZ2" s="6"/>
    </row>
    <row r="3" spans="1:52" x14ac:dyDescent="0.2">
      <c r="A3" s="17">
        <v>1</v>
      </c>
      <c r="B3" s="10">
        <v>38.388441028073402</v>
      </c>
      <c r="C3" s="10">
        <f>-28.336932985112</f>
        <v>-28.336932985112</v>
      </c>
      <c r="D3" s="11">
        <v>41092</v>
      </c>
      <c r="E3" s="27" t="s">
        <v>234</v>
      </c>
      <c r="F3" s="27" t="s">
        <v>235</v>
      </c>
      <c r="G3" s="27" t="s">
        <v>236</v>
      </c>
      <c r="H3" s="12">
        <v>0.47469907407407402</v>
      </c>
      <c r="I3" s="12"/>
      <c r="J3" s="12">
        <v>6.9444444444444447E-4</v>
      </c>
      <c r="K3" s="10" t="s">
        <v>3</v>
      </c>
      <c r="L3" s="10" t="s">
        <v>4</v>
      </c>
      <c r="M3" s="10" t="s">
        <v>4</v>
      </c>
      <c r="N3" s="10"/>
      <c r="O3" s="10"/>
      <c r="P3" s="10"/>
      <c r="Q3" s="10"/>
      <c r="R3" s="10"/>
      <c r="S3" s="10">
        <v>1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>
        <v>5</v>
      </c>
      <c r="AF3" s="10">
        <v>5</v>
      </c>
      <c r="AG3" s="10"/>
      <c r="AH3" s="10"/>
      <c r="AI3" s="10"/>
      <c r="AJ3" s="10"/>
      <c r="AK3" s="10"/>
      <c r="AL3" s="10">
        <v>1</v>
      </c>
      <c r="AM3" s="10"/>
      <c r="AN3" s="10"/>
      <c r="AO3" s="10"/>
      <c r="AP3" s="10">
        <v>1</v>
      </c>
      <c r="AQ3" s="10"/>
      <c r="AR3" s="10"/>
      <c r="AS3" s="10"/>
      <c r="AT3" s="10"/>
      <c r="AU3" s="10"/>
      <c r="AV3" s="10" t="s">
        <v>295</v>
      </c>
      <c r="AW3" s="10"/>
      <c r="AX3" s="10"/>
      <c r="AY3" s="10" t="s">
        <v>309</v>
      </c>
      <c r="AZ3" s="7"/>
    </row>
    <row r="4" spans="1:52" x14ac:dyDescent="0.2">
      <c r="A4" s="17">
        <v>2</v>
      </c>
      <c r="B4" s="10">
        <v>38.374166982248397</v>
      </c>
      <c r="C4" s="10">
        <f>-28.1789920292794</f>
        <v>-28.178992029279399</v>
      </c>
      <c r="D4" s="11">
        <v>41094</v>
      </c>
      <c r="E4" s="27" t="s">
        <v>237</v>
      </c>
      <c r="F4" s="27" t="s">
        <v>235</v>
      </c>
      <c r="G4" s="27" t="s">
        <v>236</v>
      </c>
      <c r="H4" s="12">
        <v>0.44591435185185185</v>
      </c>
      <c r="I4" s="12">
        <v>0.4557060185185185</v>
      </c>
      <c r="J4" s="12">
        <f t="shared" ref="J4:J67" si="0">I4-H4</f>
        <v>9.791666666666643E-3</v>
      </c>
      <c r="K4" s="10" t="s">
        <v>5</v>
      </c>
      <c r="L4" s="10" t="s">
        <v>6</v>
      </c>
      <c r="M4" s="10" t="s">
        <v>8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>
        <v>1</v>
      </c>
      <c r="AE4" s="10">
        <v>6</v>
      </c>
      <c r="AF4" s="10">
        <v>6</v>
      </c>
      <c r="AG4" s="10"/>
      <c r="AH4" s="10"/>
      <c r="AI4" s="10"/>
      <c r="AJ4" s="10"/>
      <c r="AK4" s="10"/>
      <c r="AL4" s="10">
        <v>1</v>
      </c>
      <c r="AM4" s="10"/>
      <c r="AN4" s="10">
        <v>1</v>
      </c>
      <c r="AO4" s="10"/>
      <c r="AP4" s="10"/>
      <c r="AQ4" s="10"/>
      <c r="AR4" s="10"/>
      <c r="AS4" s="10"/>
      <c r="AT4" s="10"/>
      <c r="AU4" s="10">
        <v>1</v>
      </c>
      <c r="AV4" s="10" t="s">
        <v>295</v>
      </c>
      <c r="AW4" s="10"/>
      <c r="AX4" s="10"/>
      <c r="AY4" s="10" t="s">
        <v>310</v>
      </c>
      <c r="AZ4" s="7"/>
    </row>
    <row r="5" spans="1:52" x14ac:dyDescent="0.2">
      <c r="A5" s="17">
        <v>3</v>
      </c>
      <c r="B5" s="10">
        <v>38.363711982965398</v>
      </c>
      <c r="C5" s="10">
        <f>-28.1739860214293</f>
        <v>-28.1739860214293</v>
      </c>
      <c r="D5" s="11">
        <v>41094</v>
      </c>
      <c r="E5" s="27" t="s">
        <v>237</v>
      </c>
      <c r="F5" s="27" t="s">
        <v>235</v>
      </c>
      <c r="G5" s="27" t="s">
        <v>236</v>
      </c>
      <c r="H5" s="12">
        <v>0.47273148148148153</v>
      </c>
      <c r="I5" s="12">
        <v>0.48396990740740736</v>
      </c>
      <c r="J5" s="12">
        <f t="shared" si="0"/>
        <v>1.1238425925925832E-2</v>
      </c>
      <c r="K5" s="10" t="s">
        <v>9</v>
      </c>
      <c r="L5" s="10" t="s">
        <v>10</v>
      </c>
      <c r="M5" s="10" t="s">
        <v>12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>
        <v>1</v>
      </c>
      <c r="AE5" s="10">
        <v>8</v>
      </c>
      <c r="AF5" s="10">
        <v>8</v>
      </c>
      <c r="AG5" s="10"/>
      <c r="AH5" s="10"/>
      <c r="AI5" s="10"/>
      <c r="AJ5" s="10"/>
      <c r="AK5" s="10"/>
      <c r="AL5" s="10"/>
      <c r="AM5" s="10"/>
      <c r="AN5" s="10">
        <v>1</v>
      </c>
      <c r="AO5" s="10"/>
      <c r="AP5" s="10"/>
      <c r="AQ5" s="10"/>
      <c r="AR5" s="10"/>
      <c r="AS5" s="10"/>
      <c r="AT5" s="10"/>
      <c r="AU5" s="10">
        <v>1</v>
      </c>
      <c r="AV5" s="10" t="s">
        <v>295</v>
      </c>
      <c r="AW5" s="10"/>
      <c r="AX5" s="10"/>
      <c r="AY5" s="10" t="s">
        <v>309</v>
      </c>
      <c r="AZ5" s="7"/>
    </row>
    <row r="6" spans="1:52" x14ac:dyDescent="0.2">
      <c r="A6" s="17">
        <v>4</v>
      </c>
      <c r="B6" s="10">
        <v>38.339184019714502</v>
      </c>
      <c r="C6" s="10">
        <f>-28.2632399629801</f>
        <v>-28.263239962980101</v>
      </c>
      <c r="D6" s="11">
        <v>41099</v>
      </c>
      <c r="E6" s="27" t="s">
        <v>238</v>
      </c>
      <c r="F6" s="27" t="s">
        <v>235</v>
      </c>
      <c r="G6" s="27" t="s">
        <v>236</v>
      </c>
      <c r="H6" s="12">
        <v>0.52364583333333337</v>
      </c>
      <c r="I6" s="12">
        <v>0.53153935185185186</v>
      </c>
      <c r="J6" s="12">
        <f t="shared" si="0"/>
        <v>7.8935185185184942E-3</v>
      </c>
      <c r="K6" s="10" t="s">
        <v>13</v>
      </c>
      <c r="L6" s="10" t="s">
        <v>14</v>
      </c>
      <c r="M6" s="10" t="s">
        <v>12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>
        <v>1</v>
      </c>
      <c r="AE6" s="10">
        <v>8</v>
      </c>
      <c r="AF6" s="10">
        <v>8</v>
      </c>
      <c r="AG6" s="10"/>
      <c r="AH6" s="10"/>
      <c r="AI6" s="10"/>
      <c r="AJ6" s="10"/>
      <c r="AK6" s="10"/>
      <c r="AL6" s="10"/>
      <c r="AM6" s="10"/>
      <c r="AN6" s="10">
        <v>1</v>
      </c>
      <c r="AO6" s="10"/>
      <c r="AP6" s="10"/>
      <c r="AQ6" s="10"/>
      <c r="AR6" s="10"/>
      <c r="AS6" s="10"/>
      <c r="AT6" s="10"/>
      <c r="AU6" s="10">
        <v>1</v>
      </c>
      <c r="AV6" s="10" t="s">
        <v>295</v>
      </c>
      <c r="AW6" s="10"/>
      <c r="AX6" s="10"/>
      <c r="AY6" s="10" t="s">
        <v>309</v>
      </c>
      <c r="AZ6" s="7"/>
    </row>
    <row r="7" spans="1:52" x14ac:dyDescent="0.2">
      <c r="A7" s="17">
        <v>5</v>
      </c>
      <c r="B7" s="10">
        <v>38.369204979389899</v>
      </c>
      <c r="C7" s="10">
        <f>-28.1682350300252</f>
        <v>-28.168235030025201</v>
      </c>
      <c r="D7" s="11">
        <v>41100</v>
      </c>
      <c r="E7" s="27" t="s">
        <v>239</v>
      </c>
      <c r="F7" s="27" t="s">
        <v>235</v>
      </c>
      <c r="G7" s="27" t="s">
        <v>236</v>
      </c>
      <c r="H7" s="12">
        <v>0.5003819444444445</v>
      </c>
      <c r="I7" s="12">
        <v>0.51851851851851849</v>
      </c>
      <c r="J7" s="12">
        <f t="shared" si="0"/>
        <v>1.8136574074073986E-2</v>
      </c>
      <c r="K7" s="10" t="s">
        <v>16</v>
      </c>
      <c r="L7" s="10" t="s">
        <v>10</v>
      </c>
      <c r="M7" s="10" t="s">
        <v>18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>
        <v>1</v>
      </c>
      <c r="AE7" s="10">
        <v>10</v>
      </c>
      <c r="AF7" s="10">
        <v>8</v>
      </c>
      <c r="AG7" s="10">
        <v>2</v>
      </c>
      <c r="AH7" s="10"/>
      <c r="AI7" s="10"/>
      <c r="AJ7" s="10"/>
      <c r="AK7" s="10"/>
      <c r="AL7" s="10"/>
      <c r="AM7" s="10"/>
      <c r="AN7" s="10">
        <v>1</v>
      </c>
      <c r="AO7" s="10"/>
      <c r="AP7" s="10"/>
      <c r="AQ7" s="10"/>
      <c r="AR7" s="10"/>
      <c r="AS7" s="10"/>
      <c r="AT7" s="10"/>
      <c r="AU7" s="10">
        <v>1</v>
      </c>
      <c r="AV7" s="10" t="s">
        <v>295</v>
      </c>
      <c r="AW7" s="10"/>
      <c r="AX7" s="10"/>
      <c r="AY7" s="10" t="s">
        <v>309</v>
      </c>
      <c r="AZ7" s="7"/>
    </row>
    <row r="8" spans="1:52" x14ac:dyDescent="0.2">
      <c r="A8" s="17">
        <v>6</v>
      </c>
      <c r="B8" s="10">
        <v>38.377077011391499</v>
      </c>
      <c r="C8" s="10">
        <f>-28.3225779701024</f>
        <v>-28.322577970102401</v>
      </c>
      <c r="D8" s="11">
        <v>41108</v>
      </c>
      <c r="E8" s="27" t="s">
        <v>240</v>
      </c>
      <c r="F8" s="27" t="s">
        <v>235</v>
      </c>
      <c r="G8" s="27" t="s">
        <v>236</v>
      </c>
      <c r="H8" s="12">
        <v>0.43765046296296295</v>
      </c>
      <c r="I8" s="12">
        <v>0.44171296296296297</v>
      </c>
      <c r="J8" s="12">
        <f t="shared" si="0"/>
        <v>4.0625000000000244E-3</v>
      </c>
      <c r="K8" s="10" t="s">
        <v>19</v>
      </c>
      <c r="L8" s="10" t="s">
        <v>10</v>
      </c>
      <c r="M8" s="10" t="s">
        <v>21</v>
      </c>
      <c r="N8" s="10"/>
      <c r="O8" s="10"/>
      <c r="P8" s="10"/>
      <c r="Q8" s="10"/>
      <c r="R8" s="10"/>
      <c r="S8" s="10">
        <v>1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>
        <v>7</v>
      </c>
      <c r="AF8" s="10">
        <v>7</v>
      </c>
      <c r="AG8" s="10"/>
      <c r="AH8" s="10"/>
      <c r="AI8" s="10"/>
      <c r="AJ8" s="10"/>
      <c r="AK8" s="10"/>
      <c r="AL8" s="10">
        <v>1</v>
      </c>
      <c r="AM8" s="10"/>
      <c r="AN8" s="10"/>
      <c r="AO8" s="10"/>
      <c r="AP8" s="10"/>
      <c r="AQ8" s="10"/>
      <c r="AR8" s="10"/>
      <c r="AS8" s="10"/>
      <c r="AT8" s="10"/>
      <c r="AU8" s="10">
        <v>1</v>
      </c>
      <c r="AV8" s="10" t="s">
        <v>295</v>
      </c>
      <c r="AW8" s="10"/>
      <c r="AX8" s="10"/>
      <c r="AY8" s="10" t="s">
        <v>309</v>
      </c>
      <c r="AZ8" s="7"/>
    </row>
    <row r="9" spans="1:52" x14ac:dyDescent="0.2">
      <c r="A9" s="17">
        <v>7</v>
      </c>
      <c r="B9" s="10">
        <v>38.375315973535102</v>
      </c>
      <c r="C9" s="10">
        <f>-28.1216159742325</f>
        <v>-28.121615974232501</v>
      </c>
      <c r="D9" s="11">
        <v>41109</v>
      </c>
      <c r="E9" s="27" t="s">
        <v>241</v>
      </c>
      <c r="F9" s="27" t="s">
        <v>235</v>
      </c>
      <c r="G9" s="27" t="s">
        <v>236</v>
      </c>
      <c r="H9" s="12">
        <v>0.72748842592592589</v>
      </c>
      <c r="I9" s="12"/>
      <c r="J9" s="12">
        <v>6.9444444444444447E-4</v>
      </c>
      <c r="K9" s="10" t="s">
        <v>22</v>
      </c>
      <c r="L9" s="10" t="s">
        <v>23</v>
      </c>
      <c r="M9" s="10" t="s">
        <v>23</v>
      </c>
      <c r="N9" s="10"/>
      <c r="O9" s="10"/>
      <c r="P9" s="10"/>
      <c r="Q9" s="10"/>
      <c r="R9" s="10"/>
      <c r="S9" s="10">
        <v>1</v>
      </c>
      <c r="T9" s="10"/>
      <c r="U9" s="10"/>
      <c r="V9" s="10"/>
      <c r="W9" s="10"/>
      <c r="X9" s="10"/>
      <c r="Y9" s="10"/>
      <c r="Z9" s="10"/>
      <c r="AA9" s="10"/>
      <c r="AB9" s="10"/>
      <c r="AC9" s="10">
        <v>1</v>
      </c>
      <c r="AD9" s="10"/>
      <c r="AE9" s="10">
        <v>5</v>
      </c>
      <c r="AF9" s="10">
        <v>5</v>
      </c>
      <c r="AG9" s="10"/>
      <c r="AH9" s="10"/>
      <c r="AI9" s="10"/>
      <c r="AJ9" s="10"/>
      <c r="AK9" s="10"/>
      <c r="AL9" s="10">
        <v>1</v>
      </c>
      <c r="AM9" s="10"/>
      <c r="AN9" s="10"/>
      <c r="AO9" s="10"/>
      <c r="AP9" s="10"/>
      <c r="AQ9" s="10">
        <v>1</v>
      </c>
      <c r="AR9" s="10"/>
      <c r="AS9" s="10"/>
      <c r="AT9" s="10"/>
      <c r="AU9" s="10"/>
      <c r="AV9" s="10" t="s">
        <v>295</v>
      </c>
      <c r="AW9" s="10"/>
      <c r="AX9" s="10"/>
      <c r="AY9" s="10" t="s">
        <v>309</v>
      </c>
      <c r="AZ9" s="7"/>
    </row>
    <row r="10" spans="1:52" x14ac:dyDescent="0.2">
      <c r="A10" s="17">
        <v>8</v>
      </c>
      <c r="B10" s="10">
        <v>38.373291995376299</v>
      </c>
      <c r="C10" s="10">
        <f>-28.1850910373032</f>
        <v>-28.185091037303199</v>
      </c>
      <c r="D10" s="11">
        <v>41111</v>
      </c>
      <c r="E10" s="27" t="s">
        <v>242</v>
      </c>
      <c r="F10" s="27" t="s">
        <v>235</v>
      </c>
      <c r="G10" s="27" t="s">
        <v>236</v>
      </c>
      <c r="H10" s="12">
        <v>0.48534722222222221</v>
      </c>
      <c r="I10" s="12"/>
      <c r="J10" s="12">
        <v>6.9444444444444447E-4</v>
      </c>
      <c r="K10" s="10" t="s">
        <v>24</v>
      </c>
      <c r="L10" s="10" t="s">
        <v>4</v>
      </c>
      <c r="M10" s="10" t="s">
        <v>4</v>
      </c>
      <c r="N10" s="10"/>
      <c r="O10" s="10"/>
      <c r="P10" s="10"/>
      <c r="Q10" s="10"/>
      <c r="R10" s="10"/>
      <c r="S10" s="10">
        <v>1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v>5</v>
      </c>
      <c r="AF10" s="10">
        <v>5</v>
      </c>
      <c r="AG10" s="10"/>
      <c r="AH10" s="10"/>
      <c r="AI10" s="10"/>
      <c r="AJ10" s="10"/>
      <c r="AK10" s="10"/>
      <c r="AL10" s="10">
        <v>1</v>
      </c>
      <c r="AM10" s="10"/>
      <c r="AN10" s="10"/>
      <c r="AO10" s="10"/>
      <c r="AP10" s="10">
        <v>1</v>
      </c>
      <c r="AQ10" s="10"/>
      <c r="AR10" s="10"/>
      <c r="AS10" s="10"/>
      <c r="AT10" s="10"/>
      <c r="AU10" s="10"/>
      <c r="AV10" s="10" t="s">
        <v>295</v>
      </c>
      <c r="AW10" s="10"/>
      <c r="AX10" s="10"/>
      <c r="AY10" s="10" t="s">
        <v>309</v>
      </c>
      <c r="AZ10" s="7"/>
    </row>
    <row r="11" spans="1:52" x14ac:dyDescent="0.2">
      <c r="A11" s="17">
        <v>9</v>
      </c>
      <c r="B11" s="10">
        <v>38.353771967813302</v>
      </c>
      <c r="C11" s="10">
        <f>-28.2893920037895</f>
        <v>-28.289392003789501</v>
      </c>
      <c r="D11" s="11">
        <v>41112</v>
      </c>
      <c r="E11" s="27" t="s">
        <v>243</v>
      </c>
      <c r="F11" s="27" t="s">
        <v>235</v>
      </c>
      <c r="G11" s="27" t="s">
        <v>236</v>
      </c>
      <c r="H11" s="12">
        <v>0.62349537037037039</v>
      </c>
      <c r="I11" s="12">
        <v>0.63537037037037036</v>
      </c>
      <c r="J11" s="12">
        <f t="shared" si="0"/>
        <v>1.1874999999999969E-2</v>
      </c>
      <c r="K11" s="10" t="s">
        <v>25</v>
      </c>
      <c r="L11" s="10" t="s">
        <v>10</v>
      </c>
      <c r="M11" s="10" t="s">
        <v>27</v>
      </c>
      <c r="N11" s="10"/>
      <c r="O11" s="10"/>
      <c r="P11" s="10"/>
      <c r="Q11" s="10"/>
      <c r="R11" s="10"/>
      <c r="S11" s="10">
        <v>1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>
        <v>6</v>
      </c>
      <c r="AF11" s="10">
        <v>5</v>
      </c>
      <c r="AG11" s="10">
        <v>1</v>
      </c>
      <c r="AH11" s="10"/>
      <c r="AI11" s="10"/>
      <c r="AJ11" s="10"/>
      <c r="AK11" s="10"/>
      <c r="AL11" s="10"/>
      <c r="AM11" s="10">
        <v>1</v>
      </c>
      <c r="AN11" s="10"/>
      <c r="AO11" s="10"/>
      <c r="AP11" s="10">
        <v>1</v>
      </c>
      <c r="AQ11" s="10"/>
      <c r="AR11" s="10"/>
      <c r="AS11" s="10"/>
      <c r="AT11" s="10"/>
      <c r="AU11" s="10"/>
      <c r="AV11" s="10" t="s">
        <v>295</v>
      </c>
      <c r="AW11" s="10"/>
      <c r="AX11" s="10"/>
      <c r="AY11" s="10" t="s">
        <v>309</v>
      </c>
      <c r="AZ11" s="7"/>
    </row>
    <row r="12" spans="1:52" x14ac:dyDescent="0.2">
      <c r="A12" s="17">
        <v>10</v>
      </c>
      <c r="B12" s="10">
        <v>38.365232963114899</v>
      </c>
      <c r="C12" s="10">
        <f>-28.1506290100514</f>
        <v>-28.1506290100514</v>
      </c>
      <c r="D12" s="11">
        <v>41121</v>
      </c>
      <c r="E12" s="27" t="s">
        <v>244</v>
      </c>
      <c r="F12" s="27" t="s">
        <v>235</v>
      </c>
      <c r="G12" s="27" t="s">
        <v>236</v>
      </c>
      <c r="H12" s="12">
        <v>0.47182870370370367</v>
      </c>
      <c r="I12" s="12">
        <v>0.48221064814814812</v>
      </c>
      <c r="J12" s="12">
        <f t="shared" si="0"/>
        <v>1.0381944444444458E-2</v>
      </c>
      <c r="K12" s="10" t="s">
        <v>28</v>
      </c>
      <c r="L12" s="10" t="s">
        <v>10</v>
      </c>
      <c r="M12" s="10" t="s">
        <v>30</v>
      </c>
      <c r="N12" s="10"/>
      <c r="O12" s="10"/>
      <c r="P12" s="10"/>
      <c r="Q12" s="10"/>
      <c r="R12" s="10">
        <v>1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>
        <v>6</v>
      </c>
      <c r="AF12" s="10">
        <v>6</v>
      </c>
      <c r="AG12" s="10"/>
      <c r="AH12" s="10"/>
      <c r="AI12" s="10"/>
      <c r="AJ12" s="10"/>
      <c r="AK12" s="10"/>
      <c r="AL12" s="10">
        <v>1</v>
      </c>
      <c r="AM12" s="10"/>
      <c r="AN12" s="10"/>
      <c r="AO12" s="10"/>
      <c r="AP12" s="10"/>
      <c r="AQ12" s="10"/>
      <c r="AR12" s="10">
        <v>1</v>
      </c>
      <c r="AS12" s="10"/>
      <c r="AT12" s="10"/>
      <c r="AU12" s="10"/>
      <c r="AV12" s="10" t="s">
        <v>295</v>
      </c>
      <c r="AW12" s="10"/>
      <c r="AX12" s="10"/>
      <c r="AY12" s="10" t="s">
        <v>309</v>
      </c>
      <c r="AZ12" s="7"/>
    </row>
    <row r="13" spans="1:52" x14ac:dyDescent="0.2">
      <c r="A13" s="17">
        <v>11</v>
      </c>
      <c r="B13" s="10">
        <v>38.341877963393898</v>
      </c>
      <c r="C13" s="10">
        <f>-28.3042269665747</f>
        <v>-28.304226966574699</v>
      </c>
      <c r="D13" s="11">
        <v>41122</v>
      </c>
      <c r="E13" s="27" t="s">
        <v>245</v>
      </c>
      <c r="F13" s="27" t="s">
        <v>246</v>
      </c>
      <c r="G13" s="27" t="s">
        <v>236</v>
      </c>
      <c r="H13" s="12">
        <v>0.73195601851851855</v>
      </c>
      <c r="I13" s="12">
        <v>0.73603009259259267</v>
      </c>
      <c r="J13" s="12">
        <f t="shared" si="0"/>
        <v>4.0740740740741188E-3</v>
      </c>
      <c r="K13" s="10" t="s">
        <v>31</v>
      </c>
      <c r="L13" s="10" t="s">
        <v>10</v>
      </c>
      <c r="M13" s="10" t="s">
        <v>33</v>
      </c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>
        <v>8</v>
      </c>
      <c r="AF13" s="10">
        <v>8</v>
      </c>
      <c r="AG13" s="10"/>
      <c r="AH13" s="10"/>
      <c r="AI13" s="10"/>
      <c r="AJ13" s="10"/>
      <c r="AK13" s="10"/>
      <c r="AL13" s="10"/>
      <c r="AM13" s="10">
        <v>1</v>
      </c>
      <c r="AN13" s="10"/>
      <c r="AO13" s="10"/>
      <c r="AP13" s="10"/>
      <c r="AQ13" s="10">
        <v>1</v>
      </c>
      <c r="AR13" s="10"/>
      <c r="AS13" s="10"/>
      <c r="AT13" s="10"/>
      <c r="AU13" s="10"/>
      <c r="AV13" s="10" t="s">
        <v>295</v>
      </c>
      <c r="AW13" s="10"/>
      <c r="AX13" s="10"/>
      <c r="AY13" s="10" t="s">
        <v>309</v>
      </c>
      <c r="AZ13" s="7"/>
    </row>
    <row r="14" spans="1:52" x14ac:dyDescent="0.2">
      <c r="A14" s="17">
        <v>12</v>
      </c>
      <c r="B14" s="10">
        <v>38.350839978083897</v>
      </c>
      <c r="C14" s="10">
        <f>-28.2454290054738</f>
        <v>-28.245429005473799</v>
      </c>
      <c r="D14" s="11">
        <v>41123</v>
      </c>
      <c r="E14" s="27" t="s">
        <v>234</v>
      </c>
      <c r="F14" s="27" t="s">
        <v>246</v>
      </c>
      <c r="G14" s="27" t="s">
        <v>236</v>
      </c>
      <c r="H14" s="12">
        <v>0.47864583333333338</v>
      </c>
      <c r="I14" s="12">
        <v>0.4810532407407408</v>
      </c>
      <c r="J14" s="12">
        <f t="shared" si="0"/>
        <v>2.4074074074074137E-3</v>
      </c>
      <c r="K14" s="10" t="s">
        <v>34</v>
      </c>
      <c r="L14" s="10" t="s">
        <v>10</v>
      </c>
      <c r="M14" s="10" t="s">
        <v>36</v>
      </c>
      <c r="N14" s="10"/>
      <c r="O14" s="10"/>
      <c r="P14" s="10"/>
      <c r="Q14" s="10"/>
      <c r="R14" s="10"/>
      <c r="S14" s="10">
        <v>1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>
        <v>5</v>
      </c>
      <c r="AF14" s="10">
        <v>5</v>
      </c>
      <c r="AG14" s="10"/>
      <c r="AH14" s="10"/>
      <c r="AI14" s="10"/>
      <c r="AJ14" s="10"/>
      <c r="AK14" s="10"/>
      <c r="AL14" s="10"/>
      <c r="AM14" s="10">
        <v>1</v>
      </c>
      <c r="AN14" s="10"/>
      <c r="AO14" s="10"/>
      <c r="AP14" s="10">
        <v>1</v>
      </c>
      <c r="AQ14" s="10"/>
      <c r="AR14" s="10"/>
      <c r="AS14" s="10"/>
      <c r="AT14" s="10"/>
      <c r="AU14" s="10"/>
      <c r="AV14" s="10" t="s">
        <v>295</v>
      </c>
      <c r="AW14" s="10"/>
      <c r="AX14" s="10"/>
      <c r="AY14" s="10" t="s">
        <v>309</v>
      </c>
      <c r="AZ14" s="7"/>
    </row>
    <row r="15" spans="1:52" x14ac:dyDescent="0.2">
      <c r="A15" s="17">
        <v>13</v>
      </c>
      <c r="B15" s="10">
        <v>38.336212970316403</v>
      </c>
      <c r="C15" s="10">
        <f>-28.2577939890325</f>
        <v>-28.2577939890325</v>
      </c>
      <c r="D15" s="11">
        <v>41123</v>
      </c>
      <c r="E15" s="27" t="s">
        <v>234</v>
      </c>
      <c r="F15" s="27" t="s">
        <v>246</v>
      </c>
      <c r="G15" s="27" t="s">
        <v>236</v>
      </c>
      <c r="H15" s="12">
        <v>0.68361111111111106</v>
      </c>
      <c r="I15" s="12">
        <v>0.69740740740740748</v>
      </c>
      <c r="J15" s="12">
        <f t="shared" si="0"/>
        <v>1.3796296296296418E-2</v>
      </c>
      <c r="K15" s="10" t="s">
        <v>37</v>
      </c>
      <c r="L15" s="10" t="s">
        <v>10</v>
      </c>
      <c r="M15" s="10" t="s">
        <v>39</v>
      </c>
      <c r="N15" s="10"/>
      <c r="O15" s="10"/>
      <c r="P15" s="10"/>
      <c r="Q15" s="10"/>
      <c r="R15" s="10">
        <v>1</v>
      </c>
      <c r="S15" s="10"/>
      <c r="T15" s="10">
        <v>1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>
        <v>20</v>
      </c>
      <c r="AF15" s="10">
        <v>18</v>
      </c>
      <c r="AG15" s="10"/>
      <c r="AH15" s="10">
        <v>2</v>
      </c>
      <c r="AI15" s="10"/>
      <c r="AJ15" s="10"/>
      <c r="AK15" s="10"/>
      <c r="AL15" s="10">
        <v>1</v>
      </c>
      <c r="AM15" s="10"/>
      <c r="AN15" s="10"/>
      <c r="AO15" s="10"/>
      <c r="AP15" s="10">
        <v>1</v>
      </c>
      <c r="AQ15" s="10"/>
      <c r="AR15" s="10"/>
      <c r="AS15" s="10"/>
      <c r="AT15" s="10"/>
      <c r="AU15" s="10"/>
      <c r="AV15" s="10" t="s">
        <v>295</v>
      </c>
      <c r="AW15" s="10"/>
      <c r="AX15" s="10"/>
      <c r="AY15" s="10" t="s">
        <v>309</v>
      </c>
      <c r="AZ15" s="7"/>
    </row>
    <row r="16" spans="1:52" x14ac:dyDescent="0.2">
      <c r="A16" s="17">
        <v>14</v>
      </c>
      <c r="B16" s="10">
        <v>38.368782028555799</v>
      </c>
      <c r="C16" s="10">
        <f>-28.0618619732558</f>
        <v>-28.061861973255802</v>
      </c>
      <c r="D16" s="11">
        <v>41138</v>
      </c>
      <c r="E16" s="27" t="s">
        <v>247</v>
      </c>
      <c r="F16" s="27" t="s">
        <v>246</v>
      </c>
      <c r="G16" s="27" t="s">
        <v>236</v>
      </c>
      <c r="H16" s="12">
        <v>0.83082175925925927</v>
      </c>
      <c r="I16" s="12">
        <v>0.83521990740740737</v>
      </c>
      <c r="J16" s="12">
        <f t="shared" si="0"/>
        <v>4.3981481481480955E-3</v>
      </c>
      <c r="K16" s="10" t="s">
        <v>40</v>
      </c>
      <c r="L16" s="10" t="s">
        <v>10</v>
      </c>
      <c r="M16" s="10" t="s">
        <v>42</v>
      </c>
      <c r="N16" s="10"/>
      <c r="O16" s="10"/>
      <c r="P16" s="10"/>
      <c r="Q16" s="10"/>
      <c r="R16" s="10"/>
      <c r="S16" s="10">
        <v>1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>
        <v>4</v>
      </c>
      <c r="AF16" s="10">
        <v>4</v>
      </c>
      <c r="AG16" s="10"/>
      <c r="AH16" s="10"/>
      <c r="AI16" s="10"/>
      <c r="AJ16" s="10"/>
      <c r="AK16" s="10"/>
      <c r="AL16" s="10">
        <v>1</v>
      </c>
      <c r="AM16" s="10"/>
      <c r="AN16" s="10"/>
      <c r="AO16" s="10"/>
      <c r="AP16" s="10"/>
      <c r="AQ16" s="10"/>
      <c r="AR16" s="10"/>
      <c r="AS16" s="10">
        <v>1</v>
      </c>
      <c r="AT16" s="10"/>
      <c r="AU16" s="10"/>
      <c r="AV16" s="10" t="s">
        <v>295</v>
      </c>
      <c r="AW16" s="10"/>
      <c r="AX16" s="10"/>
      <c r="AY16" s="10" t="s">
        <v>309</v>
      </c>
      <c r="AZ16" s="7"/>
    </row>
    <row r="17" spans="1:52" x14ac:dyDescent="0.2">
      <c r="A17" s="17">
        <v>15</v>
      </c>
      <c r="B17" s="10">
        <v>38.342287000268598</v>
      </c>
      <c r="C17" s="10">
        <f>-28.1789640337228</f>
        <v>-28.178964033722799</v>
      </c>
      <c r="D17" s="11">
        <v>41144</v>
      </c>
      <c r="E17" s="27" t="s">
        <v>248</v>
      </c>
      <c r="F17" s="27" t="s">
        <v>246</v>
      </c>
      <c r="G17" s="27" t="s">
        <v>236</v>
      </c>
      <c r="H17" s="12">
        <v>0.42033564814814817</v>
      </c>
      <c r="I17" s="12">
        <v>0.43797453703703698</v>
      </c>
      <c r="J17" s="12">
        <f t="shared" si="0"/>
        <v>1.7638888888888815E-2</v>
      </c>
      <c r="K17" s="10" t="s">
        <v>43</v>
      </c>
      <c r="L17" s="10" t="s">
        <v>10</v>
      </c>
      <c r="M17" s="10" t="s">
        <v>45</v>
      </c>
      <c r="N17" s="10"/>
      <c r="O17" s="10"/>
      <c r="P17" s="10"/>
      <c r="Q17" s="10"/>
      <c r="R17" s="10">
        <v>1</v>
      </c>
      <c r="S17" s="10"/>
      <c r="T17" s="10">
        <v>1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>
        <v>10</v>
      </c>
      <c r="AF17" s="10">
        <v>8</v>
      </c>
      <c r="AG17" s="10">
        <v>2</v>
      </c>
      <c r="AH17" s="10"/>
      <c r="AI17" s="10"/>
      <c r="AJ17" s="10"/>
      <c r="AK17" s="10"/>
      <c r="AL17" s="10">
        <v>1</v>
      </c>
      <c r="AM17" s="10"/>
      <c r="AN17" s="10"/>
      <c r="AO17" s="10"/>
      <c r="AP17" s="10"/>
      <c r="AQ17" s="10">
        <v>1</v>
      </c>
      <c r="AR17" s="10"/>
      <c r="AS17" s="10"/>
      <c r="AT17" s="10"/>
      <c r="AU17" s="10"/>
      <c r="AV17" s="10" t="s">
        <v>295</v>
      </c>
      <c r="AW17" s="10"/>
      <c r="AX17" s="10"/>
      <c r="AY17" s="10" t="s">
        <v>309</v>
      </c>
      <c r="AZ17" s="7"/>
    </row>
    <row r="18" spans="1:52" x14ac:dyDescent="0.2">
      <c r="A18" s="17">
        <v>16</v>
      </c>
      <c r="B18" s="10">
        <v>38.344129007309597</v>
      </c>
      <c r="C18" s="10">
        <f>-28.1394410133361</f>
        <v>-28.1394410133361</v>
      </c>
      <c r="D18" s="11">
        <v>41145</v>
      </c>
      <c r="E18" s="27" t="s">
        <v>249</v>
      </c>
      <c r="F18" s="27" t="s">
        <v>246</v>
      </c>
      <c r="G18" s="27" t="s">
        <v>236</v>
      </c>
      <c r="H18" s="12">
        <v>0.70840277777777771</v>
      </c>
      <c r="I18" s="12"/>
      <c r="J18" s="12">
        <v>6.9444444444444447E-4</v>
      </c>
      <c r="K18" s="10" t="s">
        <v>46</v>
      </c>
      <c r="L18" s="10" t="s">
        <v>47</v>
      </c>
      <c r="M18" s="10" t="s">
        <v>47</v>
      </c>
      <c r="N18" s="10"/>
      <c r="O18" s="10"/>
      <c r="P18" s="10"/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/>
      <c r="AA18" s="10"/>
      <c r="AB18" s="10"/>
      <c r="AC18" s="10">
        <v>1</v>
      </c>
      <c r="AD18" s="10"/>
      <c r="AE18" s="10">
        <v>6</v>
      </c>
      <c r="AF18" s="10">
        <v>6</v>
      </c>
      <c r="AG18" s="10"/>
      <c r="AH18" s="10"/>
      <c r="AI18" s="10"/>
      <c r="AJ18" s="10"/>
      <c r="AK18" s="10"/>
      <c r="AL18" s="10">
        <v>1</v>
      </c>
      <c r="AM18" s="10"/>
      <c r="AN18" s="10"/>
      <c r="AO18" s="10"/>
      <c r="AP18" s="10">
        <v>1</v>
      </c>
      <c r="AQ18" s="10"/>
      <c r="AR18" s="10"/>
      <c r="AS18" s="10"/>
      <c r="AT18" s="10"/>
      <c r="AU18" s="10"/>
      <c r="AV18" s="10" t="s">
        <v>295</v>
      </c>
      <c r="AW18" s="10"/>
      <c r="AX18" s="10"/>
      <c r="AY18" s="10" t="s">
        <v>309</v>
      </c>
      <c r="AZ18" s="7"/>
    </row>
    <row r="19" spans="1:52" x14ac:dyDescent="0.2">
      <c r="A19" s="17">
        <v>17</v>
      </c>
      <c r="B19" s="10">
        <v>38.377422010525997</v>
      </c>
      <c r="C19" s="10">
        <f>-28.0867760069668</f>
        <v>-28.086776006966801</v>
      </c>
      <c r="D19" s="11">
        <v>41146</v>
      </c>
      <c r="E19" s="27" t="s">
        <v>250</v>
      </c>
      <c r="F19" s="27" t="s">
        <v>246</v>
      </c>
      <c r="G19" s="27" t="s">
        <v>236</v>
      </c>
      <c r="H19" s="12">
        <v>0.46043981481481483</v>
      </c>
      <c r="I19" s="12"/>
      <c r="J19" s="12">
        <v>6.9444444444444447E-4</v>
      </c>
      <c r="K19" s="10" t="s">
        <v>48</v>
      </c>
      <c r="L19" s="10" t="s">
        <v>49</v>
      </c>
      <c r="M19" s="10" t="s">
        <v>49</v>
      </c>
      <c r="N19" s="10"/>
      <c r="O19" s="10"/>
      <c r="P19" s="10"/>
      <c r="Q19" s="10"/>
      <c r="R19" s="10"/>
      <c r="S19" s="10">
        <v>1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>
        <v>6</v>
      </c>
      <c r="AF19" s="10">
        <v>6</v>
      </c>
      <c r="AG19" s="10"/>
      <c r="AH19" s="10"/>
      <c r="AI19" s="10"/>
      <c r="AJ19" s="10"/>
      <c r="AK19" s="10"/>
      <c r="AL19" s="10">
        <v>1</v>
      </c>
      <c r="AM19" s="10"/>
      <c r="AN19" s="10"/>
      <c r="AO19" s="10"/>
      <c r="AP19" s="10"/>
      <c r="AQ19" s="10">
        <v>1</v>
      </c>
      <c r="AR19" s="10"/>
      <c r="AS19" s="10"/>
      <c r="AT19" s="10"/>
      <c r="AU19" s="10"/>
      <c r="AV19" s="10" t="s">
        <v>295</v>
      </c>
      <c r="AW19" s="10"/>
      <c r="AX19" s="10"/>
      <c r="AY19" s="10" t="s">
        <v>309</v>
      </c>
      <c r="AZ19" s="7"/>
    </row>
    <row r="20" spans="1:52" x14ac:dyDescent="0.2">
      <c r="A20" s="17">
        <v>18</v>
      </c>
      <c r="B20" s="10">
        <v>38.317805975675498</v>
      </c>
      <c r="C20" s="10">
        <f>-28.1758769787848</f>
        <v>-28.1758769787848</v>
      </c>
      <c r="D20" s="11">
        <v>41148</v>
      </c>
      <c r="E20" s="27" t="s">
        <v>251</v>
      </c>
      <c r="F20" s="27" t="s">
        <v>246</v>
      </c>
      <c r="G20" s="27" t="s">
        <v>236</v>
      </c>
      <c r="H20" s="12">
        <v>0.45046296296296301</v>
      </c>
      <c r="I20" s="12"/>
      <c r="J20" s="12">
        <v>6.9444444444444447E-4</v>
      </c>
      <c r="K20" s="10" t="s">
        <v>50</v>
      </c>
      <c r="L20" s="10" t="s">
        <v>51</v>
      </c>
      <c r="M20" s="10" t="s">
        <v>51</v>
      </c>
      <c r="N20" s="10"/>
      <c r="O20" s="10"/>
      <c r="P20" s="10"/>
      <c r="Q20" s="10"/>
      <c r="R20" s="10"/>
      <c r="S20" s="10">
        <v>1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>
        <v>5</v>
      </c>
      <c r="AF20" s="10">
        <v>5</v>
      </c>
      <c r="AG20" s="10"/>
      <c r="AH20" s="10"/>
      <c r="AI20" s="10"/>
      <c r="AJ20" s="10"/>
      <c r="AK20" s="10">
        <v>1</v>
      </c>
      <c r="AL20" s="10"/>
      <c r="AM20" s="10"/>
      <c r="AN20" s="10"/>
      <c r="AO20" s="10"/>
      <c r="AP20" s="10"/>
      <c r="AQ20" s="10">
        <v>1</v>
      </c>
      <c r="AR20" s="10"/>
      <c r="AS20" s="10"/>
      <c r="AT20" s="10"/>
      <c r="AU20" s="10"/>
      <c r="AV20" s="10" t="s">
        <v>295</v>
      </c>
      <c r="AW20" s="10"/>
      <c r="AX20" s="10"/>
      <c r="AY20" s="10" t="s">
        <v>309</v>
      </c>
      <c r="AZ20" s="7"/>
    </row>
    <row r="21" spans="1:52" x14ac:dyDescent="0.2">
      <c r="A21" s="17">
        <v>19</v>
      </c>
      <c r="B21" s="10">
        <v>38.287851987406597</v>
      </c>
      <c r="C21" s="10">
        <f>-28.1262019649147</f>
        <v>-28.126201964914699</v>
      </c>
      <c r="D21" s="11">
        <v>41148</v>
      </c>
      <c r="E21" s="27" t="s">
        <v>251</v>
      </c>
      <c r="F21" s="27" t="s">
        <v>246</v>
      </c>
      <c r="G21" s="27" t="s">
        <v>236</v>
      </c>
      <c r="H21" s="12">
        <v>0.72361111111111109</v>
      </c>
      <c r="I21" s="12"/>
      <c r="J21" s="12">
        <v>6.9444444444444447E-4</v>
      </c>
      <c r="K21" s="10" t="s">
        <v>52</v>
      </c>
      <c r="L21" s="10" t="s">
        <v>53</v>
      </c>
      <c r="M21" s="10" t="s">
        <v>53</v>
      </c>
      <c r="N21" s="10"/>
      <c r="O21" s="10"/>
      <c r="P21" s="10"/>
      <c r="Q21" s="10"/>
      <c r="R21" s="10"/>
      <c r="S21" s="10">
        <v>1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>
        <v>4</v>
      </c>
      <c r="AF21" s="10">
        <v>4</v>
      </c>
      <c r="AG21" s="10"/>
      <c r="AH21" s="10"/>
      <c r="AI21" s="10"/>
      <c r="AJ21" s="10"/>
      <c r="AK21" s="10"/>
      <c r="AL21" s="10">
        <v>1</v>
      </c>
      <c r="AM21" s="10"/>
      <c r="AN21" s="10"/>
      <c r="AO21" s="10"/>
      <c r="AP21" s="10"/>
      <c r="AQ21" s="10">
        <v>1</v>
      </c>
      <c r="AR21" s="10"/>
      <c r="AS21" s="10"/>
      <c r="AT21" s="10"/>
      <c r="AU21" s="10"/>
      <c r="AV21" s="10" t="s">
        <v>295</v>
      </c>
      <c r="AW21" s="10"/>
      <c r="AX21" s="10"/>
      <c r="AY21" s="10" t="s">
        <v>309</v>
      </c>
      <c r="AZ21" s="7"/>
    </row>
    <row r="22" spans="1:52" x14ac:dyDescent="0.2">
      <c r="A22" s="17">
        <v>20</v>
      </c>
      <c r="B22" s="10">
        <v>38.3759270142763</v>
      </c>
      <c r="C22" s="10">
        <f>-28.2844109740108</f>
        <v>-28.2844109740108</v>
      </c>
      <c r="D22" s="11">
        <v>41149</v>
      </c>
      <c r="E22" s="27" t="s">
        <v>252</v>
      </c>
      <c r="F22" s="27" t="s">
        <v>246</v>
      </c>
      <c r="G22" s="27" t="s">
        <v>236</v>
      </c>
      <c r="H22" s="12">
        <v>0.3943402777777778</v>
      </c>
      <c r="I22" s="12"/>
      <c r="J22" s="12">
        <v>6.9444444444444447E-4</v>
      </c>
      <c r="K22" s="10" t="s">
        <v>54</v>
      </c>
      <c r="L22" s="10" t="s">
        <v>55</v>
      </c>
      <c r="M22" s="10" t="s">
        <v>55</v>
      </c>
      <c r="N22" s="10"/>
      <c r="O22" s="10"/>
      <c r="P22" s="10"/>
      <c r="Q22" s="10"/>
      <c r="R22" s="10"/>
      <c r="S22" s="10">
        <v>1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>
        <v>4</v>
      </c>
      <c r="AF22" s="10">
        <v>4</v>
      </c>
      <c r="AG22" s="10"/>
      <c r="AH22" s="10"/>
      <c r="AI22" s="10"/>
      <c r="AJ22" s="10"/>
      <c r="AK22" s="10"/>
      <c r="AL22" s="10">
        <v>1</v>
      </c>
      <c r="AM22" s="10"/>
      <c r="AN22" s="10"/>
      <c r="AO22" s="10"/>
      <c r="AP22" s="10">
        <v>1</v>
      </c>
      <c r="AQ22" s="10"/>
      <c r="AR22" s="10"/>
      <c r="AS22" s="10"/>
      <c r="AT22" s="10"/>
      <c r="AU22" s="10"/>
      <c r="AV22" s="10" t="s">
        <v>295</v>
      </c>
      <c r="AW22" s="10"/>
      <c r="AX22" s="10"/>
      <c r="AY22" s="10" t="s">
        <v>309</v>
      </c>
      <c r="AZ22" s="7"/>
    </row>
    <row r="23" spans="1:52" x14ac:dyDescent="0.2">
      <c r="A23" s="17">
        <v>21</v>
      </c>
      <c r="B23" s="10">
        <v>38.330041961744399</v>
      </c>
      <c r="C23" s="10">
        <f>-28.2938869670033</f>
        <v>-28.293886967003299</v>
      </c>
      <c r="D23" s="11">
        <v>41152</v>
      </c>
      <c r="E23" s="27" t="s">
        <v>244</v>
      </c>
      <c r="F23" s="27" t="s">
        <v>246</v>
      </c>
      <c r="G23" s="27" t="s">
        <v>236</v>
      </c>
      <c r="H23" s="12">
        <v>0.66060185185185183</v>
      </c>
      <c r="I23" s="12"/>
      <c r="J23" s="12">
        <v>6.9444444444444447E-4</v>
      </c>
      <c r="K23" s="10" t="s">
        <v>56</v>
      </c>
      <c r="L23" s="10" t="s">
        <v>57</v>
      </c>
      <c r="M23" s="10" t="s">
        <v>57</v>
      </c>
      <c r="N23" s="10"/>
      <c r="O23" s="10"/>
      <c r="P23" s="10"/>
      <c r="Q23" s="10"/>
      <c r="R23" s="10"/>
      <c r="S23" s="10">
        <v>1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>
        <v>3</v>
      </c>
      <c r="AF23" s="10">
        <v>3</v>
      </c>
      <c r="AG23" s="10"/>
      <c r="AH23" s="10"/>
      <c r="AI23" s="10"/>
      <c r="AJ23" s="10"/>
      <c r="AK23" s="10"/>
      <c r="AL23" s="10">
        <v>1</v>
      </c>
      <c r="AM23" s="10"/>
      <c r="AN23" s="10"/>
      <c r="AO23" s="10"/>
      <c r="AP23" s="10"/>
      <c r="AQ23" s="10">
        <v>1</v>
      </c>
      <c r="AR23" s="10"/>
      <c r="AS23" s="10"/>
      <c r="AT23" s="10"/>
      <c r="AU23" s="10"/>
      <c r="AV23" s="10" t="s">
        <v>295</v>
      </c>
      <c r="AW23" s="10"/>
      <c r="AX23" s="10"/>
      <c r="AY23" s="10" t="s">
        <v>309</v>
      </c>
      <c r="AZ23" s="7"/>
    </row>
    <row r="24" spans="1:52" x14ac:dyDescent="0.2">
      <c r="A24" s="17">
        <v>22</v>
      </c>
      <c r="B24" s="10">
        <v>38.379006022587397</v>
      </c>
      <c r="C24" s="10">
        <f>-28.3185409940779</f>
        <v>-28.3185409940779</v>
      </c>
      <c r="D24" s="11">
        <v>41155</v>
      </c>
      <c r="E24" s="27" t="s">
        <v>253</v>
      </c>
      <c r="F24" s="27" t="s">
        <v>238</v>
      </c>
      <c r="G24" s="27" t="s">
        <v>236</v>
      </c>
      <c r="H24" s="12">
        <v>0.44973379629629634</v>
      </c>
      <c r="I24" s="12"/>
      <c r="J24" s="12">
        <v>6.9444444444444447E-4</v>
      </c>
      <c r="K24" s="10" t="s">
        <v>58</v>
      </c>
      <c r="L24" s="10" t="s">
        <v>59</v>
      </c>
      <c r="M24" s="10" t="s">
        <v>59</v>
      </c>
      <c r="N24" s="10"/>
      <c r="O24" s="10"/>
      <c r="P24" s="10"/>
      <c r="Q24" s="10"/>
      <c r="R24" s="10"/>
      <c r="S24" s="10">
        <v>1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>
        <v>2</v>
      </c>
      <c r="AF24" s="10">
        <v>2</v>
      </c>
      <c r="AG24" s="10"/>
      <c r="AH24" s="10"/>
      <c r="AI24" s="10"/>
      <c r="AJ24" s="10"/>
      <c r="AK24" s="10"/>
      <c r="AL24" s="10">
        <v>1</v>
      </c>
      <c r="AM24" s="10"/>
      <c r="AN24" s="10"/>
      <c r="AO24" s="10"/>
      <c r="AP24" s="10">
        <v>1</v>
      </c>
      <c r="AQ24" s="10"/>
      <c r="AR24" s="10"/>
      <c r="AS24" s="10"/>
      <c r="AT24" s="10"/>
      <c r="AU24" s="10"/>
      <c r="AV24" s="10" t="s">
        <v>295</v>
      </c>
      <c r="AW24" s="10"/>
      <c r="AX24" s="10"/>
      <c r="AY24" s="10" t="s">
        <v>309</v>
      </c>
      <c r="AZ24" s="7"/>
    </row>
    <row r="25" spans="1:52" x14ac:dyDescent="0.2">
      <c r="A25" s="17">
        <v>23</v>
      </c>
      <c r="B25" s="10">
        <v>38.343157963827203</v>
      </c>
      <c r="C25" s="10">
        <f>-28.2663769740611</f>
        <v>-28.2663769740611</v>
      </c>
      <c r="D25" s="11">
        <v>41159</v>
      </c>
      <c r="E25" s="27" t="s">
        <v>235</v>
      </c>
      <c r="F25" s="27" t="s">
        <v>238</v>
      </c>
      <c r="G25" s="27" t="s">
        <v>236</v>
      </c>
      <c r="H25" s="12">
        <v>0.44578703703703698</v>
      </c>
      <c r="I25" s="12"/>
      <c r="J25" s="12">
        <v>6.9444444444444447E-4</v>
      </c>
      <c r="K25" s="10" t="s">
        <v>60</v>
      </c>
      <c r="L25" s="10" t="s">
        <v>61</v>
      </c>
      <c r="M25" s="10" t="s">
        <v>61</v>
      </c>
      <c r="N25" s="10"/>
      <c r="O25" s="10"/>
      <c r="P25" s="10"/>
      <c r="Q25" s="10"/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2</v>
      </c>
      <c r="AF25" s="10">
        <v>2</v>
      </c>
      <c r="AG25" s="10"/>
      <c r="AH25" s="10"/>
      <c r="AI25" s="10"/>
      <c r="AJ25" s="10"/>
      <c r="AK25" s="10"/>
      <c r="AL25" s="10">
        <v>1</v>
      </c>
      <c r="AM25" s="10"/>
      <c r="AN25" s="10"/>
      <c r="AO25" s="10"/>
      <c r="AP25" s="10"/>
      <c r="AQ25" s="10">
        <v>1</v>
      </c>
      <c r="AR25" s="10"/>
      <c r="AS25" s="10"/>
      <c r="AT25" s="10"/>
      <c r="AU25" s="10"/>
      <c r="AV25" s="10" t="s">
        <v>295</v>
      </c>
      <c r="AW25" s="10"/>
      <c r="AX25" s="10"/>
      <c r="AY25" s="10" t="s">
        <v>309</v>
      </c>
      <c r="AZ25" s="7"/>
    </row>
    <row r="26" spans="1:52" x14ac:dyDescent="0.2">
      <c r="A26" s="17">
        <v>24</v>
      </c>
      <c r="B26" s="10">
        <v>38.376107979565802</v>
      </c>
      <c r="C26" s="10">
        <f>-28.3030970022082</f>
        <v>-28.303097002208201</v>
      </c>
      <c r="D26" s="11">
        <v>41159</v>
      </c>
      <c r="E26" s="27" t="s">
        <v>235</v>
      </c>
      <c r="F26" s="27" t="s">
        <v>238</v>
      </c>
      <c r="G26" s="27" t="s">
        <v>236</v>
      </c>
      <c r="H26" s="12">
        <v>0.46001157407407406</v>
      </c>
      <c r="I26" s="12"/>
      <c r="J26" s="12">
        <v>6.9444444444444447E-4</v>
      </c>
      <c r="K26" s="10" t="s">
        <v>62</v>
      </c>
      <c r="L26" s="10" t="s">
        <v>55</v>
      </c>
      <c r="M26" s="10" t="s">
        <v>55</v>
      </c>
      <c r="N26" s="10"/>
      <c r="O26" s="10"/>
      <c r="P26" s="10"/>
      <c r="Q26" s="10"/>
      <c r="R26" s="10"/>
      <c r="S26" s="10">
        <v>1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>
        <v>4</v>
      </c>
      <c r="AF26" s="10">
        <v>4</v>
      </c>
      <c r="AG26" s="10"/>
      <c r="AH26" s="10"/>
      <c r="AI26" s="10"/>
      <c r="AJ26" s="10"/>
      <c r="AK26" s="10"/>
      <c r="AL26" s="10">
        <v>1</v>
      </c>
      <c r="AM26" s="10"/>
      <c r="AN26" s="10"/>
      <c r="AO26" s="10"/>
      <c r="AP26" s="10">
        <v>1</v>
      </c>
      <c r="AQ26" s="10"/>
      <c r="AR26" s="10"/>
      <c r="AS26" s="10"/>
      <c r="AT26" s="10"/>
      <c r="AU26" s="10"/>
      <c r="AV26" s="10" t="s">
        <v>295</v>
      </c>
      <c r="AW26" s="10"/>
      <c r="AX26" s="10"/>
      <c r="AY26" s="10" t="s">
        <v>309</v>
      </c>
      <c r="AZ26" s="7"/>
    </row>
    <row r="27" spans="1:52" x14ac:dyDescent="0.2">
      <c r="A27" s="17">
        <v>25</v>
      </c>
      <c r="B27" s="10">
        <v>38.352438993752003</v>
      </c>
      <c r="C27" s="10">
        <f>-28.1861619930714</f>
        <v>-28.186161993071401</v>
      </c>
      <c r="D27" s="11">
        <v>41459</v>
      </c>
      <c r="E27" s="27" t="s">
        <v>237</v>
      </c>
      <c r="F27" s="27" t="s">
        <v>235</v>
      </c>
      <c r="G27" s="27" t="s">
        <v>254</v>
      </c>
      <c r="H27" s="12">
        <v>0.75121527777777775</v>
      </c>
      <c r="I27" s="12">
        <v>0.75531250000000005</v>
      </c>
      <c r="J27" s="12">
        <f t="shared" si="0"/>
        <v>4.0972222222223076E-3</v>
      </c>
      <c r="K27" s="10" t="s">
        <v>63</v>
      </c>
      <c r="L27" s="10" t="s">
        <v>10</v>
      </c>
      <c r="M27" s="10" t="s">
        <v>65</v>
      </c>
      <c r="N27" s="10"/>
      <c r="O27" s="10"/>
      <c r="P27" s="10"/>
      <c r="Q27" s="10"/>
      <c r="R27" s="10">
        <v>1</v>
      </c>
      <c r="S27" s="10"/>
      <c r="T27" s="10"/>
      <c r="U27" s="10"/>
      <c r="V27" s="10"/>
      <c r="W27" s="10"/>
      <c r="X27" s="10"/>
      <c r="Y27" s="10"/>
      <c r="Z27" s="10">
        <v>1</v>
      </c>
      <c r="AA27" s="10"/>
      <c r="AB27" s="10"/>
      <c r="AC27" s="10"/>
      <c r="AD27" s="10"/>
      <c r="AE27" s="10">
        <v>15</v>
      </c>
      <c r="AF27" s="10">
        <v>10</v>
      </c>
      <c r="AG27" s="10">
        <v>5</v>
      </c>
      <c r="AH27" s="10"/>
      <c r="AI27" s="10"/>
      <c r="AJ27" s="10"/>
      <c r="AK27" s="10"/>
      <c r="AL27" s="10"/>
      <c r="AM27" s="10"/>
      <c r="AN27" s="10">
        <v>1</v>
      </c>
      <c r="AO27" s="10"/>
      <c r="AP27" s="10"/>
      <c r="AQ27" s="10"/>
      <c r="AR27" s="10"/>
      <c r="AS27" s="10"/>
      <c r="AT27" s="10"/>
      <c r="AU27" s="10">
        <v>1</v>
      </c>
      <c r="AV27" s="10" t="s">
        <v>295</v>
      </c>
      <c r="AW27" s="10"/>
      <c r="AX27" s="10"/>
      <c r="AY27" s="10" t="s">
        <v>309</v>
      </c>
      <c r="AZ27" s="7"/>
    </row>
    <row r="28" spans="1:52" x14ac:dyDescent="0.2">
      <c r="A28" s="17">
        <v>26</v>
      </c>
      <c r="B28" s="10">
        <v>38.341558026149798</v>
      </c>
      <c r="C28" s="10">
        <f>-28.3441099897027</f>
        <v>-28.344109989702702</v>
      </c>
      <c r="D28" s="11">
        <v>41462</v>
      </c>
      <c r="E28" s="27" t="s">
        <v>235</v>
      </c>
      <c r="F28" s="27" t="s">
        <v>235</v>
      </c>
      <c r="G28" s="27" t="s">
        <v>254</v>
      </c>
      <c r="H28" s="12">
        <v>0.46089120370370368</v>
      </c>
      <c r="I28" s="12">
        <v>0.47085648148148151</v>
      </c>
      <c r="J28" s="12">
        <f t="shared" si="0"/>
        <v>9.9652777777778367E-3</v>
      </c>
      <c r="K28" s="10" t="s">
        <v>66</v>
      </c>
      <c r="L28" s="10" t="s">
        <v>10</v>
      </c>
      <c r="M28" s="10" t="s">
        <v>68</v>
      </c>
      <c r="N28" s="10"/>
      <c r="O28" s="10"/>
      <c r="P28" s="10"/>
      <c r="Q28" s="10"/>
      <c r="R28" s="10"/>
      <c r="S28" s="10">
        <v>1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>
        <v>15</v>
      </c>
      <c r="AF28" s="10">
        <v>10</v>
      </c>
      <c r="AG28" s="10">
        <v>5</v>
      </c>
      <c r="AH28" s="10"/>
      <c r="AI28" s="10"/>
      <c r="AJ28" s="10"/>
      <c r="AK28" s="10"/>
      <c r="AL28" s="10"/>
      <c r="AM28" s="10"/>
      <c r="AN28" s="10">
        <v>1</v>
      </c>
      <c r="AO28" s="10"/>
      <c r="AP28" s="10"/>
      <c r="AQ28" s="10"/>
      <c r="AR28" s="10"/>
      <c r="AS28" s="10"/>
      <c r="AT28" s="10"/>
      <c r="AU28" s="10">
        <v>1</v>
      </c>
      <c r="AV28" s="10" t="s">
        <v>295</v>
      </c>
      <c r="AW28" s="10"/>
      <c r="AX28" s="10"/>
      <c r="AY28" s="10" t="s">
        <v>309</v>
      </c>
      <c r="AZ28" s="7"/>
    </row>
    <row r="29" spans="1:52" x14ac:dyDescent="0.2">
      <c r="A29" s="17">
        <v>27</v>
      </c>
      <c r="B29" s="10">
        <v>38.292841985821703</v>
      </c>
      <c r="C29" s="10">
        <f>-28.3223540056496</f>
        <v>-28.322354005649601</v>
      </c>
      <c r="D29" s="11">
        <v>41465</v>
      </c>
      <c r="E29" s="27" t="s">
        <v>239</v>
      </c>
      <c r="F29" s="27" t="s">
        <v>235</v>
      </c>
      <c r="G29" s="27" t="s">
        <v>254</v>
      </c>
      <c r="H29" s="12">
        <v>0.73255787037037035</v>
      </c>
      <c r="I29" s="12"/>
      <c r="J29" s="12">
        <v>6.9444444444444447E-4</v>
      </c>
      <c r="K29" s="10" t="s">
        <v>69</v>
      </c>
      <c r="L29" s="10" t="s">
        <v>70</v>
      </c>
      <c r="M29" s="10" t="s">
        <v>70</v>
      </c>
      <c r="N29" s="10"/>
      <c r="O29" s="10"/>
      <c r="P29" s="10"/>
      <c r="Q29" s="10"/>
      <c r="R29" s="10"/>
      <c r="S29" s="10">
        <v>1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>
        <v>2</v>
      </c>
      <c r="AF29" s="10">
        <v>1</v>
      </c>
      <c r="AG29" s="10">
        <v>1</v>
      </c>
      <c r="AH29" s="10"/>
      <c r="AI29" s="10"/>
      <c r="AJ29" s="10"/>
      <c r="AK29" s="10"/>
      <c r="AL29" s="10"/>
      <c r="AM29" s="10"/>
      <c r="AN29" s="10">
        <v>1</v>
      </c>
      <c r="AO29" s="10"/>
      <c r="AP29" s="10"/>
      <c r="AQ29" s="10"/>
      <c r="AR29" s="10"/>
      <c r="AS29" s="10"/>
      <c r="AT29" s="10"/>
      <c r="AU29" s="10">
        <v>1</v>
      </c>
      <c r="AV29" s="10" t="s">
        <v>295</v>
      </c>
      <c r="AW29" s="10"/>
      <c r="AX29" s="10"/>
      <c r="AY29" s="10" t="s">
        <v>309</v>
      </c>
      <c r="AZ29" s="7"/>
    </row>
    <row r="30" spans="1:52" x14ac:dyDescent="0.2">
      <c r="A30" s="17">
        <v>28</v>
      </c>
      <c r="B30" s="10">
        <v>38.379782019182997</v>
      </c>
      <c r="C30" s="10">
        <f>-28.3080320153385</f>
        <v>-28.308032015338501</v>
      </c>
      <c r="D30" s="11">
        <v>41467</v>
      </c>
      <c r="E30" s="27" t="s">
        <v>255</v>
      </c>
      <c r="F30" s="27" t="s">
        <v>235</v>
      </c>
      <c r="G30" s="27" t="s">
        <v>254</v>
      </c>
      <c r="H30" s="12">
        <v>0.42934027777777778</v>
      </c>
      <c r="I30" s="12">
        <v>0.43762731481481482</v>
      </c>
      <c r="J30" s="12">
        <f t="shared" si="0"/>
        <v>8.2870370370370372E-3</v>
      </c>
      <c r="K30" s="10" t="s">
        <v>71</v>
      </c>
      <c r="L30" s="10" t="s">
        <v>10</v>
      </c>
      <c r="M30" s="10" t="s">
        <v>73</v>
      </c>
      <c r="N30" s="10"/>
      <c r="O30" s="10"/>
      <c r="P30" s="10"/>
      <c r="Q30" s="10"/>
      <c r="R30" s="10">
        <v>1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6</v>
      </c>
      <c r="AF30" s="10">
        <v>4</v>
      </c>
      <c r="AG30" s="10"/>
      <c r="AH30" s="10">
        <v>2</v>
      </c>
      <c r="AI30" s="10"/>
      <c r="AJ30" s="10"/>
      <c r="AK30" s="10"/>
      <c r="AL30" s="10"/>
      <c r="AM30" s="10"/>
      <c r="AN30" s="10">
        <v>1</v>
      </c>
      <c r="AO30" s="10"/>
      <c r="AP30" s="10"/>
      <c r="AQ30" s="10"/>
      <c r="AR30" s="10"/>
      <c r="AS30" s="10"/>
      <c r="AT30" s="10"/>
      <c r="AU30" s="10">
        <v>1</v>
      </c>
      <c r="AV30" s="10" t="s">
        <v>295</v>
      </c>
      <c r="AW30" s="10"/>
      <c r="AX30" s="10"/>
      <c r="AY30" s="10" t="s">
        <v>309</v>
      </c>
      <c r="AZ30" s="7"/>
    </row>
    <row r="31" spans="1:52" x14ac:dyDescent="0.2">
      <c r="A31" s="17">
        <v>29</v>
      </c>
      <c r="B31" s="10">
        <v>38.322596987709403</v>
      </c>
      <c r="C31" s="10">
        <f>-28.3849779702723</f>
        <v>-28.384977970272299</v>
      </c>
      <c r="D31" s="11">
        <v>41467</v>
      </c>
      <c r="E31" s="27" t="s">
        <v>255</v>
      </c>
      <c r="F31" s="27" t="s">
        <v>235</v>
      </c>
      <c r="G31" s="27" t="s">
        <v>254</v>
      </c>
      <c r="H31" s="12">
        <v>0.72642361111111109</v>
      </c>
      <c r="I31" s="12"/>
      <c r="J31" s="12">
        <v>6.9444444444444447E-4</v>
      </c>
      <c r="K31" s="10" t="s">
        <v>74</v>
      </c>
      <c r="L31" s="10" t="s">
        <v>75</v>
      </c>
      <c r="M31" s="10" t="s">
        <v>75</v>
      </c>
      <c r="N31" s="10"/>
      <c r="O31" s="10"/>
      <c r="P31" s="10"/>
      <c r="Q31" s="10"/>
      <c r="R31" s="10"/>
      <c r="S31" s="10">
        <v>1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>
        <v>5</v>
      </c>
      <c r="AF31" s="10">
        <v>5</v>
      </c>
      <c r="AG31" s="10"/>
      <c r="AH31" s="10"/>
      <c r="AI31" s="10"/>
      <c r="AJ31" s="10"/>
      <c r="AK31" s="10"/>
      <c r="AL31" s="10"/>
      <c r="AM31" s="10"/>
      <c r="AN31" s="10">
        <v>1</v>
      </c>
      <c r="AO31" s="10"/>
      <c r="AP31" s="10"/>
      <c r="AQ31" s="10"/>
      <c r="AR31" s="10"/>
      <c r="AS31" s="10"/>
      <c r="AT31" s="10"/>
      <c r="AU31" s="10">
        <v>1</v>
      </c>
      <c r="AV31" s="10" t="s">
        <v>295</v>
      </c>
      <c r="AW31" s="10"/>
      <c r="AX31" s="10"/>
      <c r="AY31" s="10" t="s">
        <v>309</v>
      </c>
      <c r="AZ31" s="7"/>
    </row>
    <row r="32" spans="1:52" x14ac:dyDescent="0.2">
      <c r="A32" s="17">
        <v>30</v>
      </c>
      <c r="B32" s="10">
        <v>38.2914319820702</v>
      </c>
      <c r="C32" s="10">
        <f>-28.0246530286967</f>
        <v>-28.024653028696701</v>
      </c>
      <c r="D32" s="11">
        <v>41524</v>
      </c>
      <c r="E32" s="27" t="s">
        <v>235</v>
      </c>
      <c r="F32" s="27" t="s">
        <v>238</v>
      </c>
      <c r="G32" s="27" t="s">
        <v>254</v>
      </c>
      <c r="H32" s="12">
        <v>0.49642361111111111</v>
      </c>
      <c r="I32" s="12"/>
      <c r="J32" s="12">
        <v>6.9444444444444447E-4</v>
      </c>
      <c r="K32" s="10" t="s">
        <v>76</v>
      </c>
      <c r="L32" s="10" t="s">
        <v>77</v>
      </c>
      <c r="M32" s="10" t="s">
        <v>77</v>
      </c>
      <c r="N32" s="10"/>
      <c r="O32" s="10"/>
      <c r="P32" s="10"/>
      <c r="Q32" s="10"/>
      <c r="R32" s="10"/>
      <c r="S32" s="10">
        <v>1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>
        <v>2</v>
      </c>
      <c r="AF32" s="10">
        <v>2</v>
      </c>
      <c r="AG32" s="10"/>
      <c r="AH32" s="10"/>
      <c r="AI32" s="10"/>
      <c r="AJ32" s="10"/>
      <c r="AK32" s="10"/>
      <c r="AL32" s="10"/>
      <c r="AM32" s="10"/>
      <c r="AN32" s="10">
        <v>1</v>
      </c>
      <c r="AO32" s="10"/>
      <c r="AP32" s="10"/>
      <c r="AQ32" s="10"/>
      <c r="AR32" s="10"/>
      <c r="AS32" s="10"/>
      <c r="AT32" s="10"/>
      <c r="AU32" s="10">
        <v>1</v>
      </c>
      <c r="AV32" s="10" t="s">
        <v>295</v>
      </c>
      <c r="AW32" s="10"/>
      <c r="AX32" s="10"/>
      <c r="AY32" s="10" t="s">
        <v>309</v>
      </c>
      <c r="AZ32" s="7"/>
    </row>
    <row r="33" spans="1:52" x14ac:dyDescent="0.2">
      <c r="A33" s="17">
        <v>31</v>
      </c>
      <c r="B33" s="10">
        <v>38.313252003863397</v>
      </c>
      <c r="C33" s="10">
        <f>-27.9507920332252</f>
        <v>-27.950792033225198</v>
      </c>
      <c r="D33" s="11">
        <v>41526</v>
      </c>
      <c r="E33" s="27" t="s">
        <v>238</v>
      </c>
      <c r="F33" s="27" t="s">
        <v>238</v>
      </c>
      <c r="G33" s="27" t="s">
        <v>254</v>
      </c>
      <c r="H33" s="12">
        <v>0.6582175925925926</v>
      </c>
      <c r="I33" s="12"/>
      <c r="J33" s="12">
        <v>6.9444444444444447E-4</v>
      </c>
      <c r="K33" s="10" t="s">
        <v>78</v>
      </c>
      <c r="L33" s="10" t="s">
        <v>79</v>
      </c>
      <c r="M33" s="10" t="s">
        <v>79</v>
      </c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>
        <v>1</v>
      </c>
      <c r="AA33" s="10"/>
      <c r="AB33" s="10"/>
      <c r="AC33" s="10"/>
      <c r="AD33" s="10"/>
      <c r="AE33" s="10">
        <v>5</v>
      </c>
      <c r="AF33" s="10">
        <v>5</v>
      </c>
      <c r="AG33" s="10"/>
      <c r="AH33" s="10"/>
      <c r="AI33" s="10"/>
      <c r="AJ33" s="10"/>
      <c r="AK33" s="10"/>
      <c r="AL33" s="10"/>
      <c r="AM33" s="10"/>
      <c r="AN33" s="10">
        <v>1</v>
      </c>
      <c r="AO33" s="10"/>
      <c r="AP33" s="10"/>
      <c r="AQ33" s="10"/>
      <c r="AR33" s="10"/>
      <c r="AS33" s="10"/>
      <c r="AT33" s="10"/>
      <c r="AU33" s="10">
        <v>1</v>
      </c>
      <c r="AV33" s="10" t="s">
        <v>295</v>
      </c>
      <c r="AW33" s="10"/>
      <c r="AX33" s="10"/>
      <c r="AY33" s="10" t="s">
        <v>309</v>
      </c>
      <c r="AZ33" s="7"/>
    </row>
    <row r="34" spans="1:52" x14ac:dyDescent="0.2">
      <c r="A34" s="17">
        <v>32</v>
      </c>
      <c r="B34" s="10">
        <v>38.3670870400965</v>
      </c>
      <c r="C34" s="10">
        <f>-28.1786190345883</f>
        <v>-28.178619034588301</v>
      </c>
      <c r="D34" s="11">
        <v>41827</v>
      </c>
      <c r="E34" s="27" t="s">
        <v>235</v>
      </c>
      <c r="F34" s="27" t="s">
        <v>235</v>
      </c>
      <c r="G34" s="27" t="s">
        <v>256</v>
      </c>
      <c r="H34" s="12">
        <v>0.65065972222222224</v>
      </c>
      <c r="I34" s="12"/>
      <c r="J34" s="12">
        <v>6.9444444444444447E-4</v>
      </c>
      <c r="K34" s="10" t="s">
        <v>80</v>
      </c>
      <c r="L34" s="10" t="s">
        <v>81</v>
      </c>
      <c r="M34" s="10" t="s">
        <v>81</v>
      </c>
      <c r="N34" s="10"/>
      <c r="O34" s="10"/>
      <c r="P34" s="10"/>
      <c r="Q34" s="10"/>
      <c r="R34" s="10"/>
      <c r="S34" s="10">
        <v>1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>
        <v>10</v>
      </c>
      <c r="AF34" s="10">
        <v>5</v>
      </c>
      <c r="AG34" s="10">
        <v>3</v>
      </c>
      <c r="AH34" s="10">
        <v>2</v>
      </c>
      <c r="AI34" s="10"/>
      <c r="AJ34" s="10"/>
      <c r="AK34" s="10"/>
      <c r="AL34" s="10">
        <v>1</v>
      </c>
      <c r="AM34" s="10"/>
      <c r="AN34" s="10"/>
      <c r="AO34" s="10"/>
      <c r="AP34" s="10">
        <v>1</v>
      </c>
      <c r="AQ34" s="10"/>
      <c r="AR34" s="10"/>
      <c r="AS34" s="10"/>
      <c r="AT34" s="10"/>
      <c r="AU34" s="10"/>
      <c r="AV34" s="10" t="s">
        <v>295</v>
      </c>
      <c r="AW34" s="10"/>
      <c r="AX34" s="10"/>
      <c r="AY34" s="10" t="s">
        <v>309</v>
      </c>
      <c r="AZ34" s="7"/>
    </row>
    <row r="35" spans="1:52" x14ac:dyDescent="0.2">
      <c r="A35" s="17">
        <v>33</v>
      </c>
      <c r="B35" s="10">
        <v>38.3111520018428</v>
      </c>
      <c r="C35" s="10">
        <f>-28.2105779740959</f>
        <v>-28.210577974095902</v>
      </c>
      <c r="D35" s="11">
        <v>41827</v>
      </c>
      <c r="E35" s="27" t="s">
        <v>235</v>
      </c>
      <c r="F35" s="27" t="s">
        <v>235</v>
      </c>
      <c r="G35" s="27" t="s">
        <v>256</v>
      </c>
      <c r="H35" s="12">
        <v>0.71348379629629621</v>
      </c>
      <c r="I35" s="12"/>
      <c r="J35" s="12">
        <v>6.9444444444444447E-4</v>
      </c>
      <c r="K35" s="10" t="s">
        <v>82</v>
      </c>
      <c r="L35" s="10" t="s">
        <v>83</v>
      </c>
      <c r="M35" s="10" t="s">
        <v>83</v>
      </c>
      <c r="N35" s="10"/>
      <c r="O35" s="10"/>
      <c r="P35" s="10"/>
      <c r="Q35" s="10"/>
      <c r="R35" s="10"/>
      <c r="S35" s="10">
        <v>1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>
        <v>10</v>
      </c>
      <c r="AF35" s="10">
        <v>5</v>
      </c>
      <c r="AG35" s="10">
        <v>3</v>
      </c>
      <c r="AH35" s="10">
        <v>2</v>
      </c>
      <c r="AI35" s="10"/>
      <c r="AJ35" s="10"/>
      <c r="AK35" s="10"/>
      <c r="AL35" s="10">
        <v>1</v>
      </c>
      <c r="AM35" s="10"/>
      <c r="AN35" s="10"/>
      <c r="AO35" s="10"/>
      <c r="AP35" s="10">
        <v>1</v>
      </c>
      <c r="AQ35" s="10"/>
      <c r="AR35" s="10"/>
      <c r="AS35" s="10"/>
      <c r="AT35" s="10"/>
      <c r="AU35" s="10"/>
      <c r="AV35" s="10" t="s">
        <v>295</v>
      </c>
      <c r="AW35" s="10"/>
      <c r="AX35" s="10"/>
      <c r="AY35" s="10" t="s">
        <v>309</v>
      </c>
      <c r="AZ35" s="7"/>
    </row>
    <row r="36" spans="1:52" x14ac:dyDescent="0.2">
      <c r="A36" s="17">
        <v>34</v>
      </c>
      <c r="B36" s="10">
        <v>38.394081965088802</v>
      </c>
      <c r="C36" s="10">
        <f>-28.4716949611902</f>
        <v>-28.471694961190199</v>
      </c>
      <c r="D36" s="11">
        <v>41829</v>
      </c>
      <c r="E36" s="27" t="s">
        <v>238</v>
      </c>
      <c r="F36" s="27" t="s">
        <v>235</v>
      </c>
      <c r="G36" s="27" t="s">
        <v>256</v>
      </c>
      <c r="H36" s="12">
        <v>0.50650462962962961</v>
      </c>
      <c r="I36" s="12">
        <v>0.51134259259259263</v>
      </c>
      <c r="J36" s="12">
        <f t="shared" si="0"/>
        <v>4.8379629629630161E-3</v>
      </c>
      <c r="K36" s="10" t="s">
        <v>84</v>
      </c>
      <c r="L36" s="10" t="s">
        <v>10</v>
      </c>
      <c r="M36" s="10" t="s">
        <v>86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>
        <v>1</v>
      </c>
      <c r="AE36" s="10">
        <v>10</v>
      </c>
      <c r="AF36" s="10">
        <v>5</v>
      </c>
      <c r="AG36" s="10">
        <v>2</v>
      </c>
      <c r="AH36" s="10">
        <v>3</v>
      </c>
      <c r="AI36" s="10"/>
      <c r="AJ36" s="10"/>
      <c r="AK36" s="10"/>
      <c r="AL36" s="10">
        <v>1</v>
      </c>
      <c r="AM36" s="10"/>
      <c r="AN36" s="10"/>
      <c r="AO36" s="10">
        <v>1</v>
      </c>
      <c r="AP36" s="10"/>
      <c r="AQ36" s="10"/>
      <c r="AR36" s="10"/>
      <c r="AS36" s="10"/>
      <c r="AT36" s="10"/>
      <c r="AU36" s="10"/>
      <c r="AV36" s="10" t="s">
        <v>295</v>
      </c>
      <c r="AW36" s="10"/>
      <c r="AX36" s="10"/>
      <c r="AY36" s="10" t="s">
        <v>309</v>
      </c>
      <c r="AZ36" s="7"/>
    </row>
    <row r="37" spans="1:52" x14ac:dyDescent="0.2">
      <c r="A37" s="17">
        <v>35</v>
      </c>
      <c r="B37" s="10">
        <v>38.379627037793298</v>
      </c>
      <c r="C37" s="10">
        <f>-28.4471830073744</f>
        <v>-28.447183007374399</v>
      </c>
      <c r="D37" s="11">
        <v>41829</v>
      </c>
      <c r="E37" s="27" t="s">
        <v>238</v>
      </c>
      <c r="F37" s="27" t="s">
        <v>235</v>
      </c>
      <c r="G37" s="27" t="s">
        <v>256</v>
      </c>
      <c r="H37" s="12">
        <v>0.517511574074074</v>
      </c>
      <c r="I37" s="12">
        <v>0.52253472222222219</v>
      </c>
      <c r="J37" s="12">
        <f t="shared" si="0"/>
        <v>5.0231481481481932E-3</v>
      </c>
      <c r="K37" s="10" t="s">
        <v>87</v>
      </c>
      <c r="L37" s="10" t="s">
        <v>10</v>
      </c>
      <c r="M37" s="10" t="s">
        <v>89</v>
      </c>
      <c r="N37" s="10"/>
      <c r="O37" s="10"/>
      <c r="P37" s="10"/>
      <c r="Q37" s="10"/>
      <c r="R37" s="10">
        <v>1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20</v>
      </c>
      <c r="AF37" s="10">
        <v>10</v>
      </c>
      <c r="AG37" s="10">
        <v>5</v>
      </c>
      <c r="AH37" s="10">
        <v>5</v>
      </c>
      <c r="AI37" s="10"/>
      <c r="AJ37" s="10"/>
      <c r="AK37" s="10"/>
      <c r="AL37" s="10">
        <v>1</v>
      </c>
      <c r="AM37" s="10"/>
      <c r="AN37" s="10"/>
      <c r="AO37" s="10"/>
      <c r="AP37" s="10">
        <v>1</v>
      </c>
      <c r="AQ37" s="10"/>
      <c r="AR37" s="10"/>
      <c r="AS37" s="10"/>
      <c r="AT37" s="10"/>
      <c r="AU37" s="10"/>
      <c r="AV37" s="10" t="s">
        <v>295</v>
      </c>
      <c r="AW37" s="10"/>
      <c r="AX37" s="10"/>
      <c r="AY37" s="10" t="s">
        <v>309</v>
      </c>
      <c r="AZ37" s="7"/>
    </row>
    <row r="38" spans="1:52" x14ac:dyDescent="0.2">
      <c r="A38" s="17">
        <v>36</v>
      </c>
      <c r="B38" s="10">
        <v>38.295119013637297</v>
      </c>
      <c r="C38" s="10">
        <f>-28.3841319847851</f>
        <v>-28.3841319847851</v>
      </c>
      <c r="D38" s="11">
        <v>41835</v>
      </c>
      <c r="E38" s="27" t="s">
        <v>257</v>
      </c>
      <c r="F38" s="27" t="s">
        <v>235</v>
      </c>
      <c r="G38" s="27" t="s">
        <v>256</v>
      </c>
      <c r="H38" s="12">
        <v>0.6994097222222222</v>
      </c>
      <c r="I38" s="12">
        <v>0.70140046296296299</v>
      </c>
      <c r="J38" s="12">
        <f t="shared" si="0"/>
        <v>1.9907407407407929E-3</v>
      </c>
      <c r="K38" s="10" t="s">
        <v>90</v>
      </c>
      <c r="L38" s="10" t="s">
        <v>10</v>
      </c>
      <c r="M38" s="10" t="s">
        <v>92</v>
      </c>
      <c r="N38" s="10"/>
      <c r="O38" s="10"/>
      <c r="P38" s="10"/>
      <c r="Q38" s="10">
        <v>1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>
        <v>10</v>
      </c>
      <c r="AF38" s="10">
        <v>6</v>
      </c>
      <c r="AG38" s="10">
        <v>2</v>
      </c>
      <c r="AH38" s="10">
        <v>2</v>
      </c>
      <c r="AI38" s="10"/>
      <c r="AJ38" s="10"/>
      <c r="AK38" s="10"/>
      <c r="AL38" s="10">
        <v>1</v>
      </c>
      <c r="AM38" s="10"/>
      <c r="AN38" s="10"/>
      <c r="AO38" s="10"/>
      <c r="AP38" s="10">
        <v>1</v>
      </c>
      <c r="AQ38" s="10"/>
      <c r="AR38" s="10"/>
      <c r="AS38" s="10"/>
      <c r="AT38" s="10"/>
      <c r="AU38" s="10"/>
      <c r="AV38" s="10" t="s">
        <v>295</v>
      </c>
      <c r="AW38" s="10"/>
      <c r="AX38" s="10"/>
      <c r="AY38" s="10" t="s">
        <v>309</v>
      </c>
      <c r="AZ38" s="7"/>
    </row>
    <row r="39" spans="1:52" x14ac:dyDescent="0.2">
      <c r="A39" s="17">
        <v>37</v>
      </c>
      <c r="B39" s="10">
        <v>38.365589026361697</v>
      </c>
      <c r="C39" s="10">
        <f>-28.1764050386846</f>
        <v>-28.176405038684599</v>
      </c>
      <c r="D39" s="11">
        <v>41843</v>
      </c>
      <c r="E39" s="27" t="s">
        <v>248</v>
      </c>
      <c r="F39" s="27" t="s">
        <v>235</v>
      </c>
      <c r="G39" s="27" t="s">
        <v>256</v>
      </c>
      <c r="H39" s="12">
        <v>0.45273148148148151</v>
      </c>
      <c r="I39" s="12"/>
      <c r="J39" s="12">
        <v>6.9444444444444447E-4</v>
      </c>
      <c r="K39" s="10" t="s">
        <v>93</v>
      </c>
      <c r="L39" s="10" t="s">
        <v>94</v>
      </c>
      <c r="M39" s="10" t="s">
        <v>94</v>
      </c>
      <c r="N39" s="10"/>
      <c r="O39" s="10"/>
      <c r="P39" s="10"/>
      <c r="Q39" s="10"/>
      <c r="R39" s="10"/>
      <c r="S39" s="10">
        <v>1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>
        <v>8</v>
      </c>
      <c r="AF39" s="10">
        <v>5</v>
      </c>
      <c r="AG39" s="10">
        <v>2</v>
      </c>
      <c r="AH39" s="10">
        <v>1</v>
      </c>
      <c r="AI39" s="10"/>
      <c r="AJ39" s="10"/>
      <c r="AK39" s="10"/>
      <c r="AL39" s="10">
        <v>1</v>
      </c>
      <c r="AM39" s="10"/>
      <c r="AN39" s="10"/>
      <c r="AO39" s="10"/>
      <c r="AP39" s="10">
        <v>1</v>
      </c>
      <c r="AQ39" s="10"/>
      <c r="AR39" s="10"/>
      <c r="AS39" s="10"/>
      <c r="AT39" s="10"/>
      <c r="AU39" s="10"/>
      <c r="AV39" s="10" t="s">
        <v>295</v>
      </c>
      <c r="AW39" s="10"/>
      <c r="AX39" s="10"/>
      <c r="AY39" s="10" t="s">
        <v>309</v>
      </c>
      <c r="AZ39" s="7"/>
    </row>
    <row r="40" spans="1:52" x14ac:dyDescent="0.2">
      <c r="A40" s="17">
        <v>38</v>
      </c>
      <c r="B40" s="10">
        <v>38.3266020286828</v>
      </c>
      <c r="C40" s="10">
        <f>-28.2373350206762</f>
        <v>-28.237335020676198</v>
      </c>
      <c r="D40" s="11">
        <v>42181</v>
      </c>
      <c r="E40" s="27" t="s">
        <v>258</v>
      </c>
      <c r="F40" s="27" t="s">
        <v>259</v>
      </c>
      <c r="G40" s="27" t="s">
        <v>260</v>
      </c>
      <c r="H40" s="12">
        <v>0.69045138888888891</v>
      </c>
      <c r="I40" s="12"/>
      <c r="J40" s="12">
        <v>6.9444444444444447E-4</v>
      </c>
      <c r="K40" s="10" t="s">
        <v>95</v>
      </c>
      <c r="L40" s="10" t="s">
        <v>96</v>
      </c>
      <c r="M40" s="10" t="s">
        <v>96</v>
      </c>
      <c r="N40" s="10"/>
      <c r="O40" s="10"/>
      <c r="P40" s="10"/>
      <c r="Q40" s="10"/>
      <c r="R40" s="10"/>
      <c r="S40" s="10">
        <v>1</v>
      </c>
      <c r="T40" s="10"/>
      <c r="U40" s="10">
        <v>1</v>
      </c>
      <c r="V40" s="10"/>
      <c r="W40" s="10"/>
      <c r="X40" s="10"/>
      <c r="Y40" s="10"/>
      <c r="Z40" s="10"/>
      <c r="AA40" s="10"/>
      <c r="AB40" s="10"/>
      <c r="AC40" s="10"/>
      <c r="AD40" s="10"/>
      <c r="AE40" s="10">
        <v>5</v>
      </c>
      <c r="AF40" s="10">
        <v>3</v>
      </c>
      <c r="AG40" s="10">
        <v>2</v>
      </c>
      <c r="AH40" s="10"/>
      <c r="AI40" s="10"/>
      <c r="AJ40" s="10"/>
      <c r="AK40" s="10"/>
      <c r="AL40" s="10"/>
      <c r="AM40" s="10">
        <v>1</v>
      </c>
      <c r="AN40" s="10"/>
      <c r="AO40" s="10"/>
      <c r="AP40" s="10"/>
      <c r="AQ40" s="10">
        <v>1</v>
      </c>
      <c r="AR40" s="10"/>
      <c r="AS40" s="10"/>
      <c r="AT40" s="10"/>
      <c r="AU40" s="10"/>
      <c r="AV40" s="10">
        <v>1</v>
      </c>
      <c r="AW40" s="10"/>
      <c r="AX40" s="10"/>
      <c r="AY40" s="10" t="s">
        <v>309</v>
      </c>
      <c r="AZ40" s="7"/>
    </row>
    <row r="41" spans="1:52" x14ac:dyDescent="0.2">
      <c r="A41" s="17">
        <v>39</v>
      </c>
      <c r="B41" s="10">
        <v>38.360539013519798</v>
      </c>
      <c r="C41" s="10">
        <f>-28.1879249587655</f>
        <v>-28.1879249587655</v>
      </c>
      <c r="D41" s="11">
        <v>42186</v>
      </c>
      <c r="E41" s="27" t="s">
        <v>245</v>
      </c>
      <c r="F41" s="27" t="s">
        <v>235</v>
      </c>
      <c r="G41" s="27" t="s">
        <v>260</v>
      </c>
      <c r="H41" s="12">
        <v>0.48350694444444442</v>
      </c>
      <c r="I41" s="12"/>
      <c r="J41" s="12">
        <v>6.9444444444444447E-4</v>
      </c>
      <c r="K41" s="10" t="s">
        <v>97</v>
      </c>
      <c r="L41" s="10" t="s">
        <v>98</v>
      </c>
      <c r="M41" s="10" t="s">
        <v>98</v>
      </c>
      <c r="N41" s="10"/>
      <c r="O41" s="10"/>
      <c r="P41" s="10"/>
      <c r="Q41" s="10"/>
      <c r="R41" s="10"/>
      <c r="S41" s="10"/>
      <c r="T41" s="10"/>
      <c r="U41" s="10">
        <v>1</v>
      </c>
      <c r="V41" s="10"/>
      <c r="W41" s="10"/>
      <c r="X41" s="10"/>
      <c r="Y41" s="10"/>
      <c r="Z41" s="10"/>
      <c r="AA41" s="10"/>
      <c r="AB41" s="10"/>
      <c r="AC41" s="10"/>
      <c r="AD41" s="10"/>
      <c r="AE41" s="10">
        <v>4</v>
      </c>
      <c r="AF41" s="10">
        <v>2</v>
      </c>
      <c r="AG41" s="10"/>
      <c r="AH41" s="10">
        <v>2</v>
      </c>
      <c r="AI41" s="10"/>
      <c r="AJ41" s="10"/>
      <c r="AK41" s="10"/>
      <c r="AL41" s="10">
        <v>1</v>
      </c>
      <c r="AM41" s="10"/>
      <c r="AN41" s="10"/>
      <c r="AO41" s="10"/>
      <c r="AP41" s="10"/>
      <c r="AQ41" s="10"/>
      <c r="AR41" s="10">
        <v>1</v>
      </c>
      <c r="AS41" s="10"/>
      <c r="AT41" s="10"/>
      <c r="AU41" s="10"/>
      <c r="AV41" s="10">
        <v>1</v>
      </c>
      <c r="AW41" s="10"/>
      <c r="AX41" s="10"/>
      <c r="AY41" s="10" t="s">
        <v>309</v>
      </c>
      <c r="AZ41" s="7"/>
    </row>
    <row r="42" spans="1:52" x14ac:dyDescent="0.2">
      <c r="A42" s="17">
        <v>40</v>
      </c>
      <c r="B42" s="10">
        <v>38.392540030181401</v>
      </c>
      <c r="C42" s="10">
        <f>-28.4413679782301</f>
        <v>-28.441367978230101</v>
      </c>
      <c r="D42" s="11">
        <v>42186</v>
      </c>
      <c r="E42" s="27" t="s">
        <v>245</v>
      </c>
      <c r="F42" s="27" t="s">
        <v>235</v>
      </c>
      <c r="G42" s="27" t="s">
        <v>260</v>
      </c>
      <c r="H42" s="12">
        <v>0.67578703703703702</v>
      </c>
      <c r="I42" s="12">
        <v>0.68409722222222225</v>
      </c>
      <c r="J42" s="12">
        <f t="shared" si="0"/>
        <v>8.310185185185226E-3</v>
      </c>
      <c r="K42" s="10" t="s">
        <v>99</v>
      </c>
      <c r="L42" s="10" t="s">
        <v>10</v>
      </c>
      <c r="M42" s="10" t="s">
        <v>101</v>
      </c>
      <c r="N42" s="10"/>
      <c r="O42" s="10"/>
      <c r="P42" s="10"/>
      <c r="Q42" s="10"/>
      <c r="R42" s="10"/>
      <c r="S42" s="10">
        <v>1</v>
      </c>
      <c r="T42" s="10"/>
      <c r="U42" s="10">
        <v>1</v>
      </c>
      <c r="V42" s="10"/>
      <c r="W42" s="10"/>
      <c r="X42" s="10"/>
      <c r="Y42" s="10"/>
      <c r="Z42" s="10"/>
      <c r="AA42" s="10"/>
      <c r="AB42" s="10"/>
      <c r="AC42" s="10"/>
      <c r="AD42" s="10"/>
      <c r="AE42" s="10">
        <v>3</v>
      </c>
      <c r="AF42" s="10">
        <v>2</v>
      </c>
      <c r="AG42" s="10">
        <v>1</v>
      </c>
      <c r="AH42" s="10"/>
      <c r="AI42" s="10"/>
      <c r="AJ42" s="10"/>
      <c r="AK42" s="10"/>
      <c r="AL42" s="10">
        <v>1</v>
      </c>
      <c r="AM42" s="10"/>
      <c r="AN42" s="10"/>
      <c r="AO42" s="10"/>
      <c r="AP42" s="10"/>
      <c r="AQ42" s="10"/>
      <c r="AR42" s="10">
        <v>1</v>
      </c>
      <c r="AS42" s="10"/>
      <c r="AT42" s="10"/>
      <c r="AU42" s="10"/>
      <c r="AV42" s="10">
        <v>2</v>
      </c>
      <c r="AW42" s="10"/>
      <c r="AX42" s="10"/>
      <c r="AY42" s="10" t="s">
        <v>309</v>
      </c>
      <c r="AZ42" s="7"/>
    </row>
    <row r="43" spans="1:52" x14ac:dyDescent="0.2">
      <c r="A43" s="17">
        <v>41</v>
      </c>
      <c r="B43" s="10">
        <v>38.377854013815501</v>
      </c>
      <c r="C43" s="10">
        <f>-28.1679829861968</f>
        <v>-28.167982986196801</v>
      </c>
      <c r="D43" s="11">
        <v>42195</v>
      </c>
      <c r="E43" s="27" t="s">
        <v>239</v>
      </c>
      <c r="F43" s="27" t="s">
        <v>235</v>
      </c>
      <c r="G43" s="27" t="s">
        <v>260</v>
      </c>
      <c r="H43" s="12">
        <v>0.45606481481481481</v>
      </c>
      <c r="I43" s="12">
        <v>0.46334490740740741</v>
      </c>
      <c r="J43" s="12">
        <f t="shared" si="0"/>
        <v>7.2800925925926019E-3</v>
      </c>
      <c r="K43" s="10" t="s">
        <v>102</v>
      </c>
      <c r="L43" s="10" t="s">
        <v>10</v>
      </c>
      <c r="M43" s="10" t="s">
        <v>104</v>
      </c>
      <c r="N43" s="10"/>
      <c r="O43" s="10"/>
      <c r="P43" s="10"/>
      <c r="Q43" s="10"/>
      <c r="R43" s="10">
        <v>1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>
        <v>6</v>
      </c>
      <c r="AF43" s="10">
        <v>4</v>
      </c>
      <c r="AG43" s="10">
        <v>1</v>
      </c>
      <c r="AH43" s="10">
        <v>1</v>
      </c>
      <c r="AI43" s="10"/>
      <c r="AJ43" s="10"/>
      <c r="AK43" s="10"/>
      <c r="AL43" s="10">
        <v>1</v>
      </c>
      <c r="AM43" s="10"/>
      <c r="AN43" s="10"/>
      <c r="AO43" s="10"/>
      <c r="AP43" s="10">
        <v>1</v>
      </c>
      <c r="AQ43" s="10"/>
      <c r="AR43" s="10"/>
      <c r="AS43" s="10"/>
      <c r="AT43" s="10"/>
      <c r="AU43" s="10"/>
      <c r="AV43" s="10">
        <v>1</v>
      </c>
      <c r="AW43" s="10"/>
      <c r="AX43" s="10"/>
      <c r="AY43" s="10" t="s">
        <v>309</v>
      </c>
      <c r="AZ43" s="7"/>
    </row>
    <row r="44" spans="1:52" x14ac:dyDescent="0.2">
      <c r="A44" s="17">
        <v>42</v>
      </c>
      <c r="B44" s="10">
        <v>38.199428021907799</v>
      </c>
      <c r="C44" s="10">
        <f>-28.1795350089669</f>
        <v>-28.179535008966901</v>
      </c>
      <c r="D44" s="11">
        <v>42206</v>
      </c>
      <c r="E44" s="27" t="s">
        <v>242</v>
      </c>
      <c r="F44" s="27" t="s">
        <v>235</v>
      </c>
      <c r="G44" s="27" t="s">
        <v>260</v>
      </c>
      <c r="H44" s="12">
        <v>0.68925925925925924</v>
      </c>
      <c r="I44" s="12"/>
      <c r="J44" s="12">
        <v>6.9444444444444447E-4</v>
      </c>
      <c r="K44" s="10" t="s">
        <v>105</v>
      </c>
      <c r="L44" s="10" t="s">
        <v>106</v>
      </c>
      <c r="M44" s="10" t="s">
        <v>106</v>
      </c>
      <c r="N44" s="10"/>
      <c r="O44" s="10"/>
      <c r="P44" s="10"/>
      <c r="Q44" s="10">
        <v>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>
        <v>6</v>
      </c>
      <c r="AF44" s="10">
        <v>6</v>
      </c>
      <c r="AG44" s="10"/>
      <c r="AH44" s="10"/>
      <c r="AI44" s="10"/>
      <c r="AJ44" s="10"/>
      <c r="AK44" s="10"/>
      <c r="AL44" s="10">
        <v>1</v>
      </c>
      <c r="AM44" s="10"/>
      <c r="AN44" s="10"/>
      <c r="AO44" s="10"/>
      <c r="AP44" s="10"/>
      <c r="AQ44" s="10">
        <v>1</v>
      </c>
      <c r="AR44" s="10"/>
      <c r="AS44" s="10"/>
      <c r="AT44" s="10"/>
      <c r="AU44" s="10"/>
      <c r="AV44" s="10">
        <v>1</v>
      </c>
      <c r="AW44" s="10"/>
      <c r="AX44" s="10"/>
      <c r="AY44" s="10" t="s">
        <v>309</v>
      </c>
      <c r="AZ44" s="7"/>
    </row>
    <row r="45" spans="1:52" x14ac:dyDescent="0.2">
      <c r="A45" s="17">
        <v>43</v>
      </c>
      <c r="B45" s="10">
        <v>38.352763960137899</v>
      </c>
      <c r="C45" s="10">
        <f>-28.2280359696596</f>
        <v>-28.228035969659601</v>
      </c>
      <c r="D45" s="11">
        <v>42211</v>
      </c>
      <c r="E45" s="27" t="s">
        <v>258</v>
      </c>
      <c r="F45" s="27" t="s">
        <v>235</v>
      </c>
      <c r="G45" s="27" t="s">
        <v>260</v>
      </c>
      <c r="H45" s="12">
        <v>0.46694444444444444</v>
      </c>
      <c r="I45" s="12"/>
      <c r="J45" s="12">
        <v>6.9444444444444447E-4</v>
      </c>
      <c r="K45" s="10" t="s">
        <v>107</v>
      </c>
      <c r="L45" s="10" t="s">
        <v>108</v>
      </c>
      <c r="M45" s="10" t="s">
        <v>108</v>
      </c>
      <c r="N45" s="10"/>
      <c r="O45" s="10"/>
      <c r="P45" s="10"/>
      <c r="Q45" s="10"/>
      <c r="R45" s="10"/>
      <c r="S45" s="10">
        <v>1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>
        <v>5</v>
      </c>
      <c r="AF45" s="10">
        <v>5</v>
      </c>
      <c r="AG45" s="10"/>
      <c r="AH45" s="10"/>
      <c r="AI45" s="10"/>
      <c r="AJ45" s="10"/>
      <c r="AK45" s="10"/>
      <c r="AL45" s="10">
        <v>1</v>
      </c>
      <c r="AM45" s="10"/>
      <c r="AN45" s="10"/>
      <c r="AO45" s="10"/>
      <c r="AP45" s="10"/>
      <c r="AQ45" s="10">
        <v>1</v>
      </c>
      <c r="AR45" s="10"/>
      <c r="AS45" s="10"/>
      <c r="AT45" s="10"/>
      <c r="AU45" s="10"/>
      <c r="AV45" s="10">
        <v>1</v>
      </c>
      <c r="AW45" s="10"/>
      <c r="AX45" s="10"/>
      <c r="AY45" s="10" t="s">
        <v>309</v>
      </c>
      <c r="AZ45" s="7"/>
    </row>
    <row r="46" spans="1:52" x14ac:dyDescent="0.2">
      <c r="A46" s="17">
        <v>44</v>
      </c>
      <c r="B46" s="10">
        <v>38.365936959162298</v>
      </c>
      <c r="C46" s="10">
        <f>-28.313039029017</f>
        <v>-28.313039029016998</v>
      </c>
      <c r="D46" s="11">
        <v>42245</v>
      </c>
      <c r="E46" s="27" t="s">
        <v>261</v>
      </c>
      <c r="F46" s="27" t="s">
        <v>246</v>
      </c>
      <c r="G46" s="27" t="s">
        <v>260</v>
      </c>
      <c r="H46" s="12">
        <v>0.46626157407407409</v>
      </c>
      <c r="I46" s="12">
        <v>0.46815972222222224</v>
      </c>
      <c r="J46" s="12">
        <f t="shared" si="0"/>
        <v>1.8981481481481488E-3</v>
      </c>
      <c r="K46" s="10" t="s">
        <v>109</v>
      </c>
      <c r="L46" s="10" t="s">
        <v>10</v>
      </c>
      <c r="M46" s="10" t="s">
        <v>111</v>
      </c>
      <c r="N46" s="10"/>
      <c r="O46" s="10">
        <v>1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>
        <v>3</v>
      </c>
      <c r="AF46" s="10">
        <v>3</v>
      </c>
      <c r="AG46" s="10"/>
      <c r="AH46" s="10"/>
      <c r="AI46" s="10"/>
      <c r="AJ46" s="10"/>
      <c r="AK46" s="10"/>
      <c r="AL46" s="10">
        <v>1</v>
      </c>
      <c r="AM46" s="10"/>
      <c r="AN46" s="10"/>
      <c r="AO46" s="10"/>
      <c r="AP46" s="10">
        <v>1</v>
      </c>
      <c r="AQ46" s="10"/>
      <c r="AR46" s="10"/>
      <c r="AS46" s="10"/>
      <c r="AT46" s="10"/>
      <c r="AU46" s="10"/>
      <c r="AV46" s="10">
        <v>3</v>
      </c>
      <c r="AW46" s="10"/>
      <c r="AX46" s="10"/>
      <c r="AY46" s="10" t="s">
        <v>309</v>
      </c>
      <c r="AZ46" s="7"/>
    </row>
    <row r="47" spans="1:52" x14ac:dyDescent="0.2">
      <c r="A47" s="17">
        <v>45</v>
      </c>
      <c r="B47" s="10">
        <v>38.339085029438102</v>
      </c>
      <c r="C47" s="10">
        <f>-28.3431289717555</f>
        <v>-28.343128971755501</v>
      </c>
      <c r="D47" s="11">
        <v>42251</v>
      </c>
      <c r="E47" s="27" t="s">
        <v>237</v>
      </c>
      <c r="F47" s="27" t="s">
        <v>238</v>
      </c>
      <c r="G47" s="27" t="s">
        <v>260</v>
      </c>
      <c r="H47" s="12">
        <v>0.68541666666666667</v>
      </c>
      <c r="I47" s="12"/>
      <c r="J47" s="12">
        <v>6.9444444444444447E-4</v>
      </c>
      <c r="K47" s="10" t="s">
        <v>112</v>
      </c>
      <c r="L47" s="10" t="s">
        <v>113</v>
      </c>
      <c r="M47" s="10" t="s">
        <v>113</v>
      </c>
      <c r="N47" s="10"/>
      <c r="O47" s="10"/>
      <c r="P47" s="10"/>
      <c r="Q47" s="10"/>
      <c r="R47" s="10"/>
      <c r="S47" s="10">
        <v>1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>
        <v>3</v>
      </c>
      <c r="AF47" s="10">
        <v>3</v>
      </c>
      <c r="AG47" s="10"/>
      <c r="AH47" s="10"/>
      <c r="AI47" s="10"/>
      <c r="AJ47" s="10"/>
      <c r="AK47" s="10"/>
      <c r="AL47" s="10">
        <v>1</v>
      </c>
      <c r="AM47" s="10"/>
      <c r="AN47" s="10"/>
      <c r="AO47" s="10"/>
      <c r="AP47" s="10">
        <v>1</v>
      </c>
      <c r="AQ47" s="10"/>
      <c r="AR47" s="10"/>
      <c r="AS47" s="10"/>
      <c r="AT47" s="10"/>
      <c r="AU47" s="10"/>
      <c r="AV47" s="10">
        <v>4</v>
      </c>
      <c r="AW47" s="10"/>
      <c r="AX47" s="10"/>
      <c r="AY47" s="10" t="s">
        <v>309</v>
      </c>
      <c r="AZ47" s="7"/>
    </row>
    <row r="48" spans="1:52" x14ac:dyDescent="0.2">
      <c r="A48" s="17">
        <v>46</v>
      </c>
      <c r="B48" s="10">
        <v>38.3909519948065</v>
      </c>
      <c r="C48" s="10">
        <f>-28.4189449623227</f>
        <v>-28.418944962322701</v>
      </c>
      <c r="D48" s="11">
        <v>42283</v>
      </c>
      <c r="E48" s="27" t="s">
        <v>259</v>
      </c>
      <c r="F48" s="27" t="s">
        <v>239</v>
      </c>
      <c r="G48" s="27" t="s">
        <v>260</v>
      </c>
      <c r="H48" s="12">
        <v>0.7374074074074074</v>
      </c>
      <c r="I48" s="12"/>
      <c r="J48" s="12">
        <v>6.9444444444444447E-4</v>
      </c>
      <c r="K48" s="10" t="s">
        <v>114</v>
      </c>
      <c r="L48" s="10" t="s">
        <v>115</v>
      </c>
      <c r="M48" s="10" t="s">
        <v>115</v>
      </c>
      <c r="N48" s="10"/>
      <c r="O48" s="10"/>
      <c r="P48" s="10"/>
      <c r="Q48" s="10">
        <v>1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>
        <v>5</v>
      </c>
      <c r="AF48" s="10">
        <v>5</v>
      </c>
      <c r="AG48" s="10"/>
      <c r="AH48" s="10"/>
      <c r="AI48" s="10"/>
      <c r="AJ48" s="10"/>
      <c r="AK48" s="10"/>
      <c r="AL48" s="10"/>
      <c r="AM48" s="10">
        <v>1</v>
      </c>
      <c r="AN48" s="10"/>
      <c r="AO48" s="10"/>
      <c r="AP48" s="10">
        <v>1</v>
      </c>
      <c r="AQ48" s="10"/>
      <c r="AR48" s="10"/>
      <c r="AS48" s="10"/>
      <c r="AT48" s="10"/>
      <c r="AU48" s="10"/>
      <c r="AV48" s="10">
        <v>1</v>
      </c>
      <c r="AW48" s="10"/>
      <c r="AX48" s="10"/>
      <c r="AY48" s="10" t="s">
        <v>309</v>
      </c>
      <c r="AZ48" s="7"/>
    </row>
    <row r="49" spans="1:52" x14ac:dyDescent="0.2">
      <c r="A49" s="17">
        <v>47</v>
      </c>
      <c r="B49" s="10">
        <v>38.312099995091501</v>
      </c>
      <c r="C49" s="10">
        <f>-28.3599510323256</f>
        <v>-28.359951032325601</v>
      </c>
      <c r="D49" s="11">
        <v>42295</v>
      </c>
      <c r="E49" s="27" t="s">
        <v>240</v>
      </c>
      <c r="F49" s="27" t="s">
        <v>239</v>
      </c>
      <c r="G49" s="27" t="s">
        <v>260</v>
      </c>
      <c r="H49" s="12">
        <v>0.43119212962962966</v>
      </c>
      <c r="I49" s="12"/>
      <c r="J49" s="12">
        <v>6.9444444444444447E-4</v>
      </c>
      <c r="K49" s="10" t="s">
        <v>116</v>
      </c>
      <c r="L49" s="10" t="s">
        <v>117</v>
      </c>
      <c r="M49" s="10" t="s">
        <v>117</v>
      </c>
      <c r="N49" s="10"/>
      <c r="O49" s="10">
        <v>1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>
        <v>5</v>
      </c>
      <c r="AF49" s="10">
        <v>5</v>
      </c>
      <c r="AG49" s="10"/>
      <c r="AH49" s="10"/>
      <c r="AI49" s="10"/>
      <c r="AJ49" s="10"/>
      <c r="AK49" s="10"/>
      <c r="AL49" s="10">
        <v>1</v>
      </c>
      <c r="AM49" s="10"/>
      <c r="AN49" s="10"/>
      <c r="AO49" s="10"/>
      <c r="AP49" s="10"/>
      <c r="AQ49" s="10">
        <v>1</v>
      </c>
      <c r="AR49" s="10"/>
      <c r="AS49" s="10"/>
      <c r="AT49" s="10"/>
      <c r="AU49" s="10"/>
      <c r="AV49" s="10">
        <v>1</v>
      </c>
      <c r="AW49" s="10"/>
      <c r="AX49" s="10"/>
      <c r="AY49" s="10" t="s">
        <v>309</v>
      </c>
      <c r="AZ49" s="7"/>
    </row>
    <row r="50" spans="1:52" x14ac:dyDescent="0.2">
      <c r="A50" s="17">
        <v>48</v>
      </c>
      <c r="B50" s="10">
        <v>38.270339006557997</v>
      </c>
      <c r="C50" s="10">
        <f>-28.4096409659832</f>
        <v>-28.409640965983201</v>
      </c>
      <c r="D50" s="11">
        <v>42476</v>
      </c>
      <c r="E50" s="27" t="s">
        <v>262</v>
      </c>
      <c r="F50" s="27" t="s">
        <v>237</v>
      </c>
      <c r="G50" s="27" t="s">
        <v>263</v>
      </c>
      <c r="H50" s="12">
        <v>0.48231481481481481</v>
      </c>
      <c r="I50" s="12"/>
      <c r="J50" s="12">
        <v>6.9444444444444447E-4</v>
      </c>
      <c r="K50" s="10" t="s">
        <v>118</v>
      </c>
      <c r="L50" s="10" t="s">
        <v>119</v>
      </c>
      <c r="M50" s="10" t="s">
        <v>119</v>
      </c>
      <c r="N50" s="10"/>
      <c r="O50" s="10"/>
      <c r="P50" s="10"/>
      <c r="Q50" s="10"/>
      <c r="R50" s="10"/>
      <c r="S50" s="10">
        <v>1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>
        <v>3</v>
      </c>
      <c r="AF50" s="10">
        <v>3</v>
      </c>
      <c r="AG50" s="10"/>
      <c r="AH50" s="10"/>
      <c r="AI50" s="10"/>
      <c r="AJ50" s="10"/>
      <c r="AK50" s="10"/>
      <c r="AL50" s="10">
        <v>1</v>
      </c>
      <c r="AM50" s="10"/>
      <c r="AN50" s="10"/>
      <c r="AO50" s="10"/>
      <c r="AP50" s="10">
        <v>1</v>
      </c>
      <c r="AQ50" s="10"/>
      <c r="AR50" s="10"/>
      <c r="AS50" s="10"/>
      <c r="AT50" s="10"/>
      <c r="AU50" s="10"/>
      <c r="AV50" s="10">
        <v>2</v>
      </c>
      <c r="AW50" s="10"/>
      <c r="AX50" s="10"/>
      <c r="AY50" s="10" t="s">
        <v>309</v>
      </c>
      <c r="AZ50" s="7"/>
    </row>
    <row r="51" spans="1:52" x14ac:dyDescent="0.2">
      <c r="A51" s="17">
        <v>49</v>
      </c>
      <c r="B51" s="10">
        <v>38.362244982272301</v>
      </c>
      <c r="C51" s="10">
        <f>-28.28388299793</f>
        <v>-28.28388299793</v>
      </c>
      <c r="D51" s="11">
        <v>42477</v>
      </c>
      <c r="E51" s="27" t="s">
        <v>247</v>
      </c>
      <c r="F51" s="27" t="s">
        <v>237</v>
      </c>
      <c r="G51" s="27" t="s">
        <v>263</v>
      </c>
      <c r="H51" s="12">
        <v>0.48561342592592593</v>
      </c>
      <c r="I51" s="12"/>
      <c r="J51" s="12">
        <v>6.9444444444444447E-4</v>
      </c>
      <c r="K51" s="10" t="s">
        <v>120</v>
      </c>
      <c r="L51" s="10" t="s">
        <v>121</v>
      </c>
      <c r="M51" s="10" t="s">
        <v>121</v>
      </c>
      <c r="N51" s="10"/>
      <c r="O51" s="10"/>
      <c r="P51" s="10"/>
      <c r="Q51" s="10"/>
      <c r="R51" s="10"/>
      <c r="S51" s="10">
        <v>1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>
        <v>6</v>
      </c>
      <c r="AF51" s="10">
        <v>6</v>
      </c>
      <c r="AG51" s="10"/>
      <c r="AH51" s="10"/>
      <c r="AI51" s="10"/>
      <c r="AJ51" s="10"/>
      <c r="AK51" s="10"/>
      <c r="AL51" s="10">
        <v>1</v>
      </c>
      <c r="AM51" s="10"/>
      <c r="AN51" s="10"/>
      <c r="AO51" s="10"/>
      <c r="AP51" s="10">
        <v>1</v>
      </c>
      <c r="AQ51" s="10"/>
      <c r="AR51" s="10"/>
      <c r="AS51" s="10"/>
      <c r="AT51" s="10"/>
      <c r="AU51" s="10"/>
      <c r="AV51" s="10">
        <v>3</v>
      </c>
      <c r="AW51" s="10"/>
      <c r="AX51" s="10"/>
      <c r="AY51" s="10" t="s">
        <v>309</v>
      </c>
      <c r="AZ51" s="7"/>
    </row>
    <row r="52" spans="1:52" x14ac:dyDescent="0.2">
      <c r="A52" s="17">
        <v>50</v>
      </c>
      <c r="B52" s="10">
        <v>38.370491014793501</v>
      </c>
      <c r="C52" s="10">
        <f>-28.3152990415692</f>
        <v>-28.315299041569201</v>
      </c>
      <c r="D52" s="11">
        <v>42549</v>
      </c>
      <c r="E52" s="27" t="s">
        <v>252</v>
      </c>
      <c r="F52" s="27" t="s">
        <v>259</v>
      </c>
      <c r="G52" s="27" t="s">
        <v>263</v>
      </c>
      <c r="H52" s="12">
        <v>0.40813657407407411</v>
      </c>
      <c r="I52" s="12">
        <v>0.41438657407407403</v>
      </c>
      <c r="J52" s="12">
        <f t="shared" si="0"/>
        <v>6.2499999999999223E-3</v>
      </c>
      <c r="K52" s="10" t="s">
        <v>122</v>
      </c>
      <c r="L52" s="10" t="s">
        <v>10</v>
      </c>
      <c r="M52" s="10" t="s">
        <v>124</v>
      </c>
      <c r="N52" s="10"/>
      <c r="O52" s="10">
        <v>1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>
        <v>2</v>
      </c>
      <c r="AF52" s="10">
        <v>2</v>
      </c>
      <c r="AG52" s="10"/>
      <c r="AH52" s="10"/>
      <c r="AI52" s="10"/>
      <c r="AJ52" s="10"/>
      <c r="AK52" s="10"/>
      <c r="AL52" s="10"/>
      <c r="AM52" s="10">
        <v>1</v>
      </c>
      <c r="AN52" s="10"/>
      <c r="AO52" s="10"/>
      <c r="AP52" s="10">
        <v>1</v>
      </c>
      <c r="AQ52" s="10"/>
      <c r="AR52" s="10"/>
      <c r="AS52" s="10"/>
      <c r="AT52" s="10"/>
      <c r="AU52" s="10"/>
      <c r="AV52" s="10">
        <v>4</v>
      </c>
      <c r="AW52" s="10"/>
      <c r="AX52" s="10"/>
      <c r="AY52" s="10" t="s">
        <v>309</v>
      </c>
      <c r="AZ52" s="7"/>
    </row>
    <row r="53" spans="1:52" x14ac:dyDescent="0.2">
      <c r="A53" s="17">
        <v>51</v>
      </c>
      <c r="B53" s="10">
        <v>38.341574035584898</v>
      </c>
      <c r="C53" s="10">
        <f>-28.2816959917545</f>
        <v>-28.2816959917545</v>
      </c>
      <c r="D53" s="11">
        <v>42555</v>
      </c>
      <c r="E53" s="27" t="s">
        <v>237</v>
      </c>
      <c r="F53" s="27" t="s">
        <v>235</v>
      </c>
      <c r="G53" s="27" t="s">
        <v>263</v>
      </c>
      <c r="H53" s="12">
        <v>0.45968750000000003</v>
      </c>
      <c r="I53" s="12"/>
      <c r="J53" s="12">
        <v>6.9444444444444447E-4</v>
      </c>
      <c r="K53" s="10" t="s">
        <v>125</v>
      </c>
      <c r="L53" s="10" t="s">
        <v>126</v>
      </c>
      <c r="M53" s="10" t="s">
        <v>126</v>
      </c>
      <c r="N53" s="10"/>
      <c r="O53" s="10"/>
      <c r="P53" s="10"/>
      <c r="Q53" s="10"/>
      <c r="R53" s="10"/>
      <c r="S53" s="10">
        <v>1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>
        <v>8</v>
      </c>
      <c r="AF53" s="10">
        <v>4</v>
      </c>
      <c r="AG53" s="10">
        <v>1</v>
      </c>
      <c r="AH53" s="10">
        <v>3</v>
      </c>
      <c r="AI53" s="10"/>
      <c r="AJ53" s="10"/>
      <c r="AK53" s="10"/>
      <c r="AL53" s="10">
        <v>1</v>
      </c>
      <c r="AM53" s="10"/>
      <c r="AN53" s="10"/>
      <c r="AO53" s="10"/>
      <c r="AP53" s="10">
        <v>1</v>
      </c>
      <c r="AQ53" s="10"/>
      <c r="AR53" s="10"/>
      <c r="AS53" s="10"/>
      <c r="AT53" s="10"/>
      <c r="AU53" s="10"/>
      <c r="AV53" s="10">
        <v>2</v>
      </c>
      <c r="AW53" s="10"/>
      <c r="AX53" s="10"/>
      <c r="AY53" s="10" t="s">
        <v>309</v>
      </c>
      <c r="AZ53" s="7"/>
    </row>
    <row r="54" spans="1:52" x14ac:dyDescent="0.2">
      <c r="A54" s="17">
        <v>52</v>
      </c>
      <c r="B54" s="10">
        <v>38.3364090230315</v>
      </c>
      <c r="C54" s="10">
        <f>-28.2954060193151</f>
        <v>-28.295406019315099</v>
      </c>
      <c r="D54" s="11">
        <v>42555</v>
      </c>
      <c r="E54" s="27" t="s">
        <v>237</v>
      </c>
      <c r="F54" s="27" t="s">
        <v>235</v>
      </c>
      <c r="G54" s="27" t="s">
        <v>263</v>
      </c>
      <c r="H54" s="12">
        <v>0.73957175925925922</v>
      </c>
      <c r="I54" s="12"/>
      <c r="J54" s="12">
        <v>6.9444444444444447E-4</v>
      </c>
      <c r="K54" s="10" t="s">
        <v>127</v>
      </c>
      <c r="L54" s="10" t="s">
        <v>128</v>
      </c>
      <c r="M54" s="10" t="s">
        <v>128</v>
      </c>
      <c r="N54" s="10"/>
      <c r="O54" s="10">
        <v>1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>
        <v>10</v>
      </c>
      <c r="AF54" s="10">
        <v>5</v>
      </c>
      <c r="AG54" s="10">
        <v>2</v>
      </c>
      <c r="AH54" s="10">
        <v>3</v>
      </c>
      <c r="AI54" s="10"/>
      <c r="AJ54" s="10"/>
      <c r="AK54" s="10"/>
      <c r="AL54" s="10">
        <v>1</v>
      </c>
      <c r="AM54" s="10"/>
      <c r="AN54" s="10"/>
      <c r="AO54" s="10"/>
      <c r="AP54" s="10">
        <v>1</v>
      </c>
      <c r="AQ54" s="10"/>
      <c r="AR54" s="10"/>
      <c r="AS54" s="10"/>
      <c r="AT54" s="10"/>
      <c r="AU54" s="10"/>
      <c r="AV54" s="10">
        <v>3</v>
      </c>
      <c r="AW54" s="10"/>
      <c r="AX54" s="10"/>
      <c r="AY54" s="10" t="s">
        <v>309</v>
      </c>
      <c r="AZ54" s="7"/>
    </row>
    <row r="55" spans="1:52" x14ac:dyDescent="0.2">
      <c r="A55" s="17">
        <v>53</v>
      </c>
      <c r="B55" s="10">
        <v>38.364581018686202</v>
      </c>
      <c r="C55" s="10">
        <f>-28.1455909833312</f>
        <v>-28.1455909833312</v>
      </c>
      <c r="D55" s="11">
        <v>42559</v>
      </c>
      <c r="E55" s="27" t="s">
        <v>246</v>
      </c>
      <c r="F55" s="27" t="s">
        <v>235</v>
      </c>
      <c r="G55" s="27" t="s">
        <v>263</v>
      </c>
      <c r="H55" s="12">
        <v>0.48177083333333331</v>
      </c>
      <c r="I55" s="12"/>
      <c r="J55" s="12">
        <v>6.9444444444444447E-4</v>
      </c>
      <c r="K55" s="10" t="s">
        <v>129</v>
      </c>
      <c r="L55" s="10" t="s">
        <v>130</v>
      </c>
      <c r="M55" s="10" t="s">
        <v>130</v>
      </c>
      <c r="N55" s="10"/>
      <c r="O55" s="10">
        <v>1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>
        <v>1</v>
      </c>
      <c r="AD55" s="10"/>
      <c r="AE55" s="10">
        <v>3</v>
      </c>
      <c r="AF55" s="10">
        <v>2</v>
      </c>
      <c r="AG55" s="10"/>
      <c r="AH55" s="10">
        <v>1</v>
      </c>
      <c r="AI55" s="10"/>
      <c r="AJ55" s="10"/>
      <c r="AK55" s="10"/>
      <c r="AL55" s="10">
        <v>1</v>
      </c>
      <c r="AM55" s="10"/>
      <c r="AN55" s="10"/>
      <c r="AO55" s="10"/>
      <c r="AP55" s="10"/>
      <c r="AQ55" s="10"/>
      <c r="AR55" s="10">
        <v>1</v>
      </c>
      <c r="AS55" s="10"/>
      <c r="AT55" s="10"/>
      <c r="AU55" s="10"/>
      <c r="AV55" s="10">
        <v>3</v>
      </c>
      <c r="AW55" s="10"/>
      <c r="AX55" s="10"/>
      <c r="AY55" s="10" t="s">
        <v>309</v>
      </c>
      <c r="AZ55" s="7"/>
    </row>
    <row r="56" spans="1:52" x14ac:dyDescent="0.2">
      <c r="A56" s="17">
        <v>54</v>
      </c>
      <c r="B56" s="10">
        <v>38.339898996055098</v>
      </c>
      <c r="C56" s="10">
        <f>-28.2799430005252</f>
        <v>-28.279943000525201</v>
      </c>
      <c r="D56" s="11">
        <v>42562</v>
      </c>
      <c r="E56" s="27" t="s">
        <v>264</v>
      </c>
      <c r="F56" s="27" t="s">
        <v>235</v>
      </c>
      <c r="G56" s="27" t="s">
        <v>263</v>
      </c>
      <c r="H56" s="12">
        <v>0.70807870370370374</v>
      </c>
      <c r="I56" s="12">
        <v>0.70988425925925924</v>
      </c>
      <c r="J56" s="12">
        <f t="shared" si="0"/>
        <v>1.8055555555555047E-3</v>
      </c>
      <c r="K56" s="10" t="s">
        <v>131</v>
      </c>
      <c r="L56" s="10" t="s">
        <v>10</v>
      </c>
      <c r="M56" s="10" t="s">
        <v>133</v>
      </c>
      <c r="N56" s="10"/>
      <c r="O56" s="10"/>
      <c r="P56" s="10"/>
      <c r="Q56" s="10"/>
      <c r="R56" s="10">
        <v>1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>
        <v>25</v>
      </c>
      <c r="AF56" s="10">
        <v>15</v>
      </c>
      <c r="AG56" s="10">
        <v>5</v>
      </c>
      <c r="AH56" s="10">
        <v>5</v>
      </c>
      <c r="AI56" s="10"/>
      <c r="AJ56" s="10"/>
      <c r="AK56" s="10"/>
      <c r="AL56" s="10">
        <v>1</v>
      </c>
      <c r="AM56" s="10"/>
      <c r="AN56" s="10"/>
      <c r="AO56" s="10"/>
      <c r="AP56" s="10"/>
      <c r="AQ56" s="10">
        <v>1</v>
      </c>
      <c r="AR56" s="10"/>
      <c r="AS56" s="10"/>
      <c r="AT56" s="10"/>
      <c r="AU56" s="10"/>
      <c r="AV56" s="10">
        <v>5</v>
      </c>
      <c r="AW56" s="10"/>
      <c r="AX56" s="10"/>
      <c r="AY56" s="10" t="s">
        <v>309</v>
      </c>
      <c r="AZ56" s="7"/>
    </row>
    <row r="57" spans="1:52" x14ac:dyDescent="0.2">
      <c r="A57" s="17">
        <v>55</v>
      </c>
      <c r="B57" s="10">
        <v>38.342795027419903</v>
      </c>
      <c r="C57" s="10">
        <f>-28.1475459784269</f>
        <v>-28.147545978426901</v>
      </c>
      <c r="D57" s="11">
        <v>42565</v>
      </c>
      <c r="E57" s="27" t="s">
        <v>265</v>
      </c>
      <c r="F57" s="27" t="s">
        <v>235</v>
      </c>
      <c r="G57" s="27" t="s">
        <v>263</v>
      </c>
      <c r="H57" s="12">
        <v>0.51158564814814811</v>
      </c>
      <c r="I57" s="12">
        <v>0.51479166666666665</v>
      </c>
      <c r="J57" s="12">
        <f t="shared" si="0"/>
        <v>3.2060185185185386E-3</v>
      </c>
      <c r="K57" s="10" t="s">
        <v>134</v>
      </c>
      <c r="L57" s="10" t="s">
        <v>10</v>
      </c>
      <c r="M57" s="10" t="s">
        <v>136</v>
      </c>
      <c r="N57" s="10"/>
      <c r="O57" s="10">
        <v>1</v>
      </c>
      <c r="P57" s="10"/>
      <c r="Q57" s="10"/>
      <c r="R57" s="10">
        <v>1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>
        <v>1</v>
      </c>
      <c r="AD57" s="10"/>
      <c r="AE57" s="10">
        <v>10</v>
      </c>
      <c r="AF57" s="10">
        <v>7</v>
      </c>
      <c r="AG57" s="10">
        <v>3</v>
      </c>
      <c r="AH57" s="10"/>
      <c r="AI57" s="10"/>
      <c r="AJ57" s="10"/>
      <c r="AK57" s="10"/>
      <c r="AL57" s="10">
        <v>1</v>
      </c>
      <c r="AM57" s="10"/>
      <c r="AN57" s="10"/>
      <c r="AO57" s="10"/>
      <c r="AP57" s="10">
        <v>1</v>
      </c>
      <c r="AQ57" s="10"/>
      <c r="AR57" s="10"/>
      <c r="AS57" s="10"/>
      <c r="AT57" s="10"/>
      <c r="AU57" s="10"/>
      <c r="AV57" s="10">
        <v>4</v>
      </c>
      <c r="AW57" s="10"/>
      <c r="AX57" s="10"/>
      <c r="AY57" s="10" t="s">
        <v>309</v>
      </c>
      <c r="AZ57" s="7"/>
    </row>
    <row r="58" spans="1:52" x14ac:dyDescent="0.2">
      <c r="A58" s="17">
        <v>56</v>
      </c>
      <c r="B58" s="10">
        <v>38.280793000012601</v>
      </c>
      <c r="C58" s="10">
        <f>-28.3163000084459</f>
        <v>-28.3163000084459</v>
      </c>
      <c r="D58" s="11">
        <v>42565</v>
      </c>
      <c r="E58" s="27" t="s">
        <v>265</v>
      </c>
      <c r="F58" s="27" t="s">
        <v>235</v>
      </c>
      <c r="G58" s="27" t="s">
        <v>263</v>
      </c>
      <c r="H58" s="12">
        <v>0.64962962962962967</v>
      </c>
      <c r="I58" s="12"/>
      <c r="J58" s="12">
        <v>6.9444444444444447E-4</v>
      </c>
      <c r="K58" s="10" t="s">
        <v>137</v>
      </c>
      <c r="L58" s="10" t="s">
        <v>138</v>
      </c>
      <c r="M58" s="10" t="s">
        <v>138</v>
      </c>
      <c r="N58" s="10"/>
      <c r="O58" s="10">
        <v>1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>
        <v>10</v>
      </c>
      <c r="AF58" s="10">
        <v>7</v>
      </c>
      <c r="AG58" s="10">
        <v>3</v>
      </c>
      <c r="AH58" s="10"/>
      <c r="AI58" s="10"/>
      <c r="AJ58" s="10"/>
      <c r="AK58" s="10"/>
      <c r="AL58" s="10">
        <v>1</v>
      </c>
      <c r="AM58" s="10"/>
      <c r="AN58" s="10"/>
      <c r="AO58" s="10"/>
      <c r="AP58" s="10">
        <v>1</v>
      </c>
      <c r="AQ58" s="10"/>
      <c r="AR58" s="10"/>
      <c r="AS58" s="10"/>
      <c r="AT58" s="10"/>
      <c r="AU58" s="10"/>
      <c r="AV58" s="10">
        <v>4</v>
      </c>
      <c r="AW58" s="10"/>
      <c r="AX58" s="10"/>
      <c r="AY58" s="10" t="s">
        <v>309</v>
      </c>
      <c r="AZ58" s="7"/>
    </row>
    <row r="59" spans="1:52" x14ac:dyDescent="0.2">
      <c r="A59" s="17">
        <v>57</v>
      </c>
      <c r="B59" s="10">
        <v>38.234320962801498</v>
      </c>
      <c r="C59" s="10">
        <f>-28.2905470300465</f>
        <v>-28.290547030046501</v>
      </c>
      <c r="D59" s="11">
        <v>42565</v>
      </c>
      <c r="E59" s="27" t="s">
        <v>265</v>
      </c>
      <c r="F59" s="27" t="s">
        <v>235</v>
      </c>
      <c r="G59" s="27" t="s">
        <v>263</v>
      </c>
      <c r="H59" s="12">
        <v>0.70892361111111113</v>
      </c>
      <c r="I59" s="12">
        <v>0.71084490740740736</v>
      </c>
      <c r="J59" s="12">
        <f t="shared" si="0"/>
        <v>1.9212962962962266E-3</v>
      </c>
      <c r="K59" s="10" t="s">
        <v>139</v>
      </c>
      <c r="L59" s="10" t="s">
        <v>10</v>
      </c>
      <c r="M59" s="10" t="s">
        <v>141</v>
      </c>
      <c r="N59" s="10"/>
      <c r="O59" s="10">
        <v>1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>
        <v>6</v>
      </c>
      <c r="AF59" s="10">
        <v>3</v>
      </c>
      <c r="AG59" s="10">
        <v>3</v>
      </c>
      <c r="AH59" s="10"/>
      <c r="AI59" s="10"/>
      <c r="AJ59" s="10"/>
      <c r="AK59" s="10"/>
      <c r="AL59" s="10">
        <v>1</v>
      </c>
      <c r="AM59" s="10"/>
      <c r="AN59" s="10"/>
      <c r="AO59" s="10"/>
      <c r="AP59" s="10">
        <v>1</v>
      </c>
      <c r="AQ59" s="10"/>
      <c r="AR59" s="10"/>
      <c r="AS59" s="10"/>
      <c r="AT59" s="10"/>
      <c r="AU59" s="10"/>
      <c r="AV59" s="10">
        <v>4</v>
      </c>
      <c r="AW59" s="10"/>
      <c r="AX59" s="10"/>
      <c r="AY59" s="10" t="s">
        <v>309</v>
      </c>
      <c r="AZ59" s="7"/>
    </row>
    <row r="60" spans="1:52" x14ac:dyDescent="0.2">
      <c r="A60" s="17">
        <v>58</v>
      </c>
      <c r="B60" s="10">
        <v>38.379631983116198</v>
      </c>
      <c r="C60" s="10">
        <f>-28.1353239901363</f>
        <v>-28.1353239901363</v>
      </c>
      <c r="D60" s="11">
        <v>42569</v>
      </c>
      <c r="E60" s="27" t="s">
        <v>240</v>
      </c>
      <c r="F60" s="27" t="s">
        <v>235</v>
      </c>
      <c r="G60" s="27" t="s">
        <v>263</v>
      </c>
      <c r="H60" s="12">
        <v>0.5433796296296296</v>
      </c>
      <c r="I60" s="12"/>
      <c r="J60" s="12">
        <v>6.9444444444444447E-4</v>
      </c>
      <c r="K60" s="10" t="s">
        <v>142</v>
      </c>
      <c r="L60" s="10" t="s">
        <v>143</v>
      </c>
      <c r="M60" s="10" t="s">
        <v>143</v>
      </c>
      <c r="N60" s="10"/>
      <c r="O60" s="10">
        <v>1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>
        <v>2</v>
      </c>
      <c r="AF60" s="10">
        <v>2</v>
      </c>
      <c r="AG60" s="10"/>
      <c r="AH60" s="10"/>
      <c r="AI60" s="10"/>
      <c r="AJ60" s="10"/>
      <c r="AK60" s="10"/>
      <c r="AL60" s="10">
        <v>1</v>
      </c>
      <c r="AM60" s="10"/>
      <c r="AN60" s="10"/>
      <c r="AO60" s="10"/>
      <c r="AP60" s="10">
        <v>1</v>
      </c>
      <c r="AQ60" s="10"/>
      <c r="AR60" s="10"/>
      <c r="AS60" s="10"/>
      <c r="AT60" s="10"/>
      <c r="AU60" s="10"/>
      <c r="AV60" s="10">
        <v>4</v>
      </c>
      <c r="AW60" s="10"/>
      <c r="AX60" s="10"/>
      <c r="AY60" s="10" t="s">
        <v>309</v>
      </c>
      <c r="AZ60" s="7"/>
    </row>
    <row r="61" spans="1:52" x14ac:dyDescent="0.2">
      <c r="A61" s="17">
        <v>59</v>
      </c>
      <c r="B61" s="10">
        <v>38.3781560137867</v>
      </c>
      <c r="C61" s="10">
        <f>-28.1474700383841</f>
        <v>-28.1474700383841</v>
      </c>
      <c r="D61" s="11">
        <v>42569</v>
      </c>
      <c r="E61" s="27" t="s">
        <v>240</v>
      </c>
      <c r="F61" s="27" t="s">
        <v>235</v>
      </c>
      <c r="G61" s="27" t="s">
        <v>263</v>
      </c>
      <c r="H61" s="12">
        <v>0.66346064814814809</v>
      </c>
      <c r="I61" s="12"/>
      <c r="J61" s="12">
        <v>6.9444444444444447E-4</v>
      </c>
      <c r="K61" s="10" t="s">
        <v>144</v>
      </c>
      <c r="L61" s="10" t="s">
        <v>111</v>
      </c>
      <c r="M61" s="10" t="s">
        <v>111</v>
      </c>
      <c r="N61" s="10"/>
      <c r="O61" s="10">
        <v>1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>
        <v>3</v>
      </c>
      <c r="AF61" s="10">
        <v>3</v>
      </c>
      <c r="AG61" s="10"/>
      <c r="AH61" s="10"/>
      <c r="AI61" s="10"/>
      <c r="AJ61" s="10"/>
      <c r="AK61" s="10"/>
      <c r="AL61" s="10">
        <v>1</v>
      </c>
      <c r="AM61" s="10"/>
      <c r="AN61" s="10"/>
      <c r="AO61" s="10"/>
      <c r="AP61" s="10">
        <v>1</v>
      </c>
      <c r="AQ61" s="10"/>
      <c r="AR61" s="10"/>
      <c r="AS61" s="10"/>
      <c r="AT61" s="10"/>
      <c r="AU61" s="10"/>
      <c r="AV61" s="10">
        <v>3</v>
      </c>
      <c r="AW61" s="10"/>
      <c r="AX61" s="10"/>
      <c r="AY61" s="10" t="s">
        <v>309</v>
      </c>
      <c r="AZ61" s="7"/>
    </row>
    <row r="62" spans="1:52" x14ac:dyDescent="0.2">
      <c r="A62" s="17">
        <v>60</v>
      </c>
      <c r="B62" s="10">
        <v>38.328913003206203</v>
      </c>
      <c r="C62" s="10">
        <f>-28.055007001385</f>
        <v>-28.055007001385</v>
      </c>
      <c r="D62" s="11">
        <v>42573</v>
      </c>
      <c r="E62" s="27" t="s">
        <v>243</v>
      </c>
      <c r="F62" s="27" t="s">
        <v>235</v>
      </c>
      <c r="G62" s="27" t="s">
        <v>263</v>
      </c>
      <c r="H62" s="12">
        <v>0.65098379629629632</v>
      </c>
      <c r="I62" s="12"/>
      <c r="J62" s="12">
        <v>6.9444444444444447E-4</v>
      </c>
      <c r="K62" s="10" t="s">
        <v>145</v>
      </c>
      <c r="L62" s="10" t="s">
        <v>146</v>
      </c>
      <c r="M62" s="10" t="s">
        <v>146</v>
      </c>
      <c r="N62" s="10"/>
      <c r="O62" s="10">
        <v>1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>
        <v>3</v>
      </c>
      <c r="AF62" s="10">
        <v>3</v>
      </c>
      <c r="AG62" s="10"/>
      <c r="AH62" s="10"/>
      <c r="AI62" s="10"/>
      <c r="AJ62" s="10"/>
      <c r="AK62" s="10"/>
      <c r="AL62" s="10">
        <v>1</v>
      </c>
      <c r="AM62" s="10"/>
      <c r="AN62" s="10"/>
      <c r="AO62" s="10"/>
      <c r="AP62" s="10">
        <v>1</v>
      </c>
      <c r="AQ62" s="10"/>
      <c r="AR62" s="10"/>
      <c r="AS62" s="10"/>
      <c r="AT62" s="10"/>
      <c r="AU62" s="10"/>
      <c r="AV62" s="10">
        <v>3</v>
      </c>
      <c r="AW62" s="10"/>
      <c r="AX62" s="10"/>
      <c r="AY62" s="10" t="s">
        <v>309</v>
      </c>
      <c r="AZ62" s="7"/>
    </row>
    <row r="63" spans="1:52" x14ac:dyDescent="0.2">
      <c r="A63" s="17">
        <v>61</v>
      </c>
      <c r="B63" s="10">
        <v>38.358255028724599</v>
      </c>
      <c r="C63" s="10">
        <f>-28.1413420289754</f>
        <v>-28.141342028975401</v>
      </c>
      <c r="D63" s="11">
        <v>42575</v>
      </c>
      <c r="E63" s="27" t="s">
        <v>249</v>
      </c>
      <c r="F63" s="27" t="s">
        <v>235</v>
      </c>
      <c r="G63" s="27" t="s">
        <v>263</v>
      </c>
      <c r="H63" s="12">
        <v>0.43922453703703707</v>
      </c>
      <c r="I63" s="12"/>
      <c r="J63" s="12">
        <v>6.9444444444444447E-4</v>
      </c>
      <c r="K63" s="10" t="s">
        <v>147</v>
      </c>
      <c r="L63" s="10" t="s">
        <v>148</v>
      </c>
      <c r="M63" s="10" t="s">
        <v>148</v>
      </c>
      <c r="N63" s="10"/>
      <c r="O63" s="10"/>
      <c r="P63" s="10"/>
      <c r="Q63" s="10"/>
      <c r="R63" s="10"/>
      <c r="S63" s="10">
        <v>1</v>
      </c>
      <c r="T63" s="10"/>
      <c r="U63" s="10"/>
      <c r="V63" s="10"/>
      <c r="W63" s="10"/>
      <c r="X63" s="10"/>
      <c r="Y63" s="10"/>
      <c r="Z63" s="10"/>
      <c r="AA63" s="10"/>
      <c r="AB63" s="10"/>
      <c r="AC63" s="10">
        <v>1</v>
      </c>
      <c r="AD63" s="10"/>
      <c r="AE63" s="10">
        <v>5</v>
      </c>
      <c r="AF63" s="10">
        <v>3</v>
      </c>
      <c r="AG63" s="10">
        <v>2</v>
      </c>
      <c r="AH63" s="10"/>
      <c r="AI63" s="10"/>
      <c r="AJ63" s="10"/>
      <c r="AK63" s="10"/>
      <c r="AL63" s="10">
        <v>1</v>
      </c>
      <c r="AM63" s="10"/>
      <c r="AN63" s="10"/>
      <c r="AO63" s="10"/>
      <c r="AP63" s="10">
        <v>1</v>
      </c>
      <c r="AQ63" s="10"/>
      <c r="AR63" s="10"/>
      <c r="AS63" s="10"/>
      <c r="AT63" s="10"/>
      <c r="AU63" s="10"/>
      <c r="AV63" s="10">
        <v>3</v>
      </c>
      <c r="AW63" s="10"/>
      <c r="AX63" s="10"/>
      <c r="AY63" s="10" t="s">
        <v>309</v>
      </c>
      <c r="AZ63" s="7"/>
    </row>
    <row r="64" spans="1:52" x14ac:dyDescent="0.2">
      <c r="A64" s="17">
        <v>62</v>
      </c>
      <c r="B64" s="10">
        <v>38.290528999641502</v>
      </c>
      <c r="C64" s="10">
        <f>-28.3277620095759</f>
        <v>-28.327762009575899</v>
      </c>
      <c r="D64" s="11">
        <v>42576</v>
      </c>
      <c r="E64" s="27" t="s">
        <v>250</v>
      </c>
      <c r="F64" s="27" t="s">
        <v>235</v>
      </c>
      <c r="G64" s="27" t="s">
        <v>263</v>
      </c>
      <c r="H64" s="12">
        <v>0.63545138888888886</v>
      </c>
      <c r="I64" s="12">
        <v>0.64124999999999999</v>
      </c>
      <c r="J64" s="12">
        <f t="shared" si="0"/>
        <v>5.7986111111111294E-3</v>
      </c>
      <c r="K64" s="10" t="s">
        <v>149</v>
      </c>
      <c r="L64" s="10" t="s">
        <v>10</v>
      </c>
      <c r="M64" s="10" t="s">
        <v>151</v>
      </c>
      <c r="N64" s="10"/>
      <c r="O64" s="10"/>
      <c r="P64" s="10"/>
      <c r="Q64" s="10"/>
      <c r="R64" s="10">
        <v>1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>
        <v>1</v>
      </c>
      <c r="AD64" s="10"/>
      <c r="AE64" s="10">
        <v>8</v>
      </c>
      <c r="AF64" s="10">
        <v>4</v>
      </c>
      <c r="AG64" s="10">
        <v>2</v>
      </c>
      <c r="AH64" s="10">
        <v>2</v>
      </c>
      <c r="AI64" s="10"/>
      <c r="AJ64" s="10"/>
      <c r="AK64" s="10"/>
      <c r="AL64" s="10">
        <v>1</v>
      </c>
      <c r="AM64" s="10"/>
      <c r="AN64" s="10"/>
      <c r="AO64" s="10">
        <v>1</v>
      </c>
      <c r="AP64" s="10"/>
      <c r="AQ64" s="10"/>
      <c r="AR64" s="10"/>
      <c r="AS64" s="10"/>
      <c r="AT64" s="10"/>
      <c r="AU64" s="10"/>
      <c r="AV64" s="10">
        <v>2</v>
      </c>
      <c r="AW64" s="10"/>
      <c r="AX64" s="10"/>
      <c r="AY64" s="10" t="s">
        <v>309</v>
      </c>
      <c r="AZ64" s="7"/>
    </row>
    <row r="65" spans="1:52" x14ac:dyDescent="0.2">
      <c r="A65" s="17">
        <v>63</v>
      </c>
      <c r="B65" s="10">
        <v>38.336452022194798</v>
      </c>
      <c r="C65" s="10">
        <f>-28.0889650247991</f>
        <v>-28.088965024799101</v>
      </c>
      <c r="D65" s="11">
        <v>42582</v>
      </c>
      <c r="E65" s="27" t="s">
        <v>244</v>
      </c>
      <c r="F65" s="27" t="s">
        <v>235</v>
      </c>
      <c r="G65" s="27" t="s">
        <v>263</v>
      </c>
      <c r="H65" s="12">
        <v>0.43703703703703706</v>
      </c>
      <c r="I65" s="12"/>
      <c r="J65" s="12">
        <v>6.9444444444444447E-4</v>
      </c>
      <c r="K65" s="10" t="s">
        <v>152</v>
      </c>
      <c r="L65" s="10" t="s">
        <v>153</v>
      </c>
      <c r="M65" s="10" t="s">
        <v>153</v>
      </c>
      <c r="N65" s="10"/>
      <c r="O65" s="10">
        <v>1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>
        <v>2</v>
      </c>
      <c r="AF65" s="10">
        <v>2</v>
      </c>
      <c r="AG65" s="10"/>
      <c r="AH65" s="10"/>
      <c r="AI65" s="10"/>
      <c r="AJ65" s="10"/>
      <c r="AK65" s="10"/>
      <c r="AL65" s="10"/>
      <c r="AM65" s="10">
        <v>1</v>
      </c>
      <c r="AN65" s="10"/>
      <c r="AO65" s="10">
        <v>1</v>
      </c>
      <c r="AP65" s="10"/>
      <c r="AQ65" s="10"/>
      <c r="AR65" s="10"/>
      <c r="AS65" s="10"/>
      <c r="AT65" s="10"/>
      <c r="AU65" s="10"/>
      <c r="AV65" s="10">
        <v>1</v>
      </c>
      <c r="AW65" s="10"/>
      <c r="AX65" s="10"/>
      <c r="AY65" s="10" t="s">
        <v>309</v>
      </c>
      <c r="AZ65" s="7"/>
    </row>
    <row r="66" spans="1:52" x14ac:dyDescent="0.2">
      <c r="A66" s="17">
        <v>64</v>
      </c>
      <c r="B66" s="10">
        <v>38.334744041785498</v>
      </c>
      <c r="C66" s="10">
        <f>-28.2903180364519</f>
        <v>-28.2903180364519</v>
      </c>
      <c r="D66" s="11">
        <v>42587</v>
      </c>
      <c r="E66" s="27" t="s">
        <v>266</v>
      </c>
      <c r="F66" s="27" t="s">
        <v>246</v>
      </c>
      <c r="G66" s="27" t="s">
        <v>263</v>
      </c>
      <c r="H66" s="12">
        <v>0.4571412037037037</v>
      </c>
      <c r="I66" s="12"/>
      <c r="J66" s="12">
        <v>6.9444444444444447E-4</v>
      </c>
      <c r="K66" s="10" t="s">
        <v>154</v>
      </c>
      <c r="L66" s="10" t="s">
        <v>155</v>
      </c>
      <c r="M66" s="10" t="s">
        <v>155</v>
      </c>
      <c r="N66" s="10"/>
      <c r="O66" s="10">
        <v>1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>
        <v>1</v>
      </c>
      <c r="AD66" s="10"/>
      <c r="AE66" s="10">
        <v>10</v>
      </c>
      <c r="AF66" s="10">
        <v>8</v>
      </c>
      <c r="AG66" s="10">
        <v>2</v>
      </c>
      <c r="AH66" s="10"/>
      <c r="AI66" s="10"/>
      <c r="AJ66" s="10"/>
      <c r="AK66" s="10"/>
      <c r="AL66" s="10"/>
      <c r="AM66" s="10">
        <v>1</v>
      </c>
      <c r="AN66" s="10"/>
      <c r="AO66" s="10"/>
      <c r="AP66" s="10">
        <v>1</v>
      </c>
      <c r="AQ66" s="10"/>
      <c r="AR66" s="10"/>
      <c r="AS66" s="10"/>
      <c r="AT66" s="10"/>
      <c r="AU66" s="10"/>
      <c r="AV66" s="10">
        <v>2</v>
      </c>
      <c r="AW66" s="10"/>
      <c r="AX66" s="10"/>
      <c r="AY66" s="10" t="s">
        <v>309</v>
      </c>
      <c r="AZ66" s="7"/>
    </row>
    <row r="67" spans="1:52" x14ac:dyDescent="0.2">
      <c r="A67" s="17">
        <v>65</v>
      </c>
      <c r="B67" s="10">
        <v>38.382992958649901</v>
      </c>
      <c r="C67" s="10">
        <f>-28.5032120067626</f>
        <v>-28.503212006762599</v>
      </c>
      <c r="D67" s="11">
        <v>42618</v>
      </c>
      <c r="E67" s="27" t="s">
        <v>266</v>
      </c>
      <c r="F67" s="27" t="s">
        <v>238</v>
      </c>
      <c r="G67" s="27" t="s">
        <v>263</v>
      </c>
      <c r="H67" s="12">
        <v>0.77284722222222213</v>
      </c>
      <c r="I67" s="12">
        <v>0.77386574074074066</v>
      </c>
      <c r="J67" s="12">
        <f t="shared" si="0"/>
        <v>1.0185185185185297E-3</v>
      </c>
      <c r="K67" s="10" t="s">
        <v>156</v>
      </c>
      <c r="L67" s="10" t="s">
        <v>10</v>
      </c>
      <c r="M67" s="10" t="s">
        <v>158</v>
      </c>
      <c r="N67" s="10"/>
      <c r="O67" s="10"/>
      <c r="P67" s="10"/>
      <c r="Q67" s="10"/>
      <c r="R67" s="10"/>
      <c r="S67" s="10">
        <v>1</v>
      </c>
      <c r="T67" s="10"/>
      <c r="U67" s="10"/>
      <c r="V67" s="10"/>
      <c r="W67" s="10"/>
      <c r="X67" s="10"/>
      <c r="Y67" s="10"/>
      <c r="Z67" s="10"/>
      <c r="AA67" s="10"/>
      <c r="AB67" s="10"/>
      <c r="AC67" s="10">
        <v>1</v>
      </c>
      <c r="AD67" s="10"/>
      <c r="AE67" s="10">
        <v>5</v>
      </c>
      <c r="AF67" s="10">
        <v>5</v>
      </c>
      <c r="AG67" s="10"/>
      <c r="AH67" s="10"/>
      <c r="AI67" s="10"/>
      <c r="AJ67" s="10"/>
      <c r="AK67" s="10"/>
      <c r="AL67" s="10">
        <v>1</v>
      </c>
      <c r="AM67" s="10"/>
      <c r="AN67" s="10"/>
      <c r="AO67" s="10"/>
      <c r="AP67" s="10"/>
      <c r="AQ67" s="10"/>
      <c r="AR67" s="10">
        <v>1</v>
      </c>
      <c r="AS67" s="10"/>
      <c r="AT67" s="10"/>
      <c r="AU67" s="10"/>
      <c r="AV67" s="10">
        <v>4</v>
      </c>
      <c r="AW67" s="10"/>
      <c r="AX67" s="10"/>
      <c r="AY67" s="10" t="s">
        <v>309</v>
      </c>
      <c r="AZ67" s="7"/>
    </row>
    <row r="68" spans="1:52" x14ac:dyDescent="0.2">
      <c r="A68" s="17">
        <v>66</v>
      </c>
      <c r="B68" s="10">
        <v>38.3572010044008</v>
      </c>
      <c r="C68" s="10">
        <f>-28.3724529761821</f>
        <v>-28.3724529761821</v>
      </c>
      <c r="D68" s="11">
        <v>42932</v>
      </c>
      <c r="E68" s="27" t="s">
        <v>262</v>
      </c>
      <c r="F68" s="27" t="s">
        <v>235</v>
      </c>
      <c r="G68" s="27" t="s">
        <v>267</v>
      </c>
      <c r="H68" s="12">
        <v>0.40834490740740742</v>
      </c>
      <c r="I68" s="12"/>
      <c r="J68" s="12">
        <v>6.9444444444444447E-4</v>
      </c>
      <c r="K68" s="10" t="s">
        <v>159</v>
      </c>
      <c r="L68" s="10" t="s">
        <v>160</v>
      </c>
      <c r="M68" s="10" t="s">
        <v>160</v>
      </c>
      <c r="N68" s="10"/>
      <c r="O68" s="10"/>
      <c r="P68" s="10"/>
      <c r="Q68" s="10"/>
      <c r="R68" s="10">
        <v>1</v>
      </c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>
        <v>10</v>
      </c>
      <c r="AF68" s="10">
        <v>8</v>
      </c>
      <c r="AG68" s="10">
        <v>2</v>
      </c>
      <c r="AH68" s="10"/>
      <c r="AI68" s="10"/>
      <c r="AJ68" s="10"/>
      <c r="AK68" s="10"/>
      <c r="AL68" s="10">
        <v>1</v>
      </c>
      <c r="AM68" s="10"/>
      <c r="AN68" s="10"/>
      <c r="AO68" s="10"/>
      <c r="AP68" s="10">
        <v>1</v>
      </c>
      <c r="AQ68" s="10"/>
      <c r="AR68" s="10"/>
      <c r="AS68" s="10"/>
      <c r="AT68" s="10"/>
      <c r="AU68" s="10"/>
      <c r="AV68" s="10">
        <v>4</v>
      </c>
      <c r="AW68" s="10"/>
      <c r="AX68" s="10"/>
      <c r="AY68" s="10" t="s">
        <v>309</v>
      </c>
      <c r="AZ68" s="7"/>
    </row>
    <row r="69" spans="1:52" x14ac:dyDescent="0.2">
      <c r="A69" s="17">
        <v>67</v>
      </c>
      <c r="B69" s="10">
        <v>38.363541997969101</v>
      </c>
      <c r="C69" s="10">
        <f>-28.445591032505</f>
        <v>-28.445591032505</v>
      </c>
      <c r="D69" s="11">
        <v>42938</v>
      </c>
      <c r="E69" s="27" t="s">
        <v>243</v>
      </c>
      <c r="F69" s="27" t="s">
        <v>235</v>
      </c>
      <c r="G69" s="27" t="s">
        <v>267</v>
      </c>
      <c r="H69" s="12">
        <v>0.46995370370370365</v>
      </c>
      <c r="I69" s="12"/>
      <c r="J69" s="12">
        <v>6.9444444444444447E-4</v>
      </c>
      <c r="K69" s="10" t="s">
        <v>161</v>
      </c>
      <c r="L69" s="10" t="s">
        <v>162</v>
      </c>
      <c r="M69" s="10" t="s">
        <v>162</v>
      </c>
      <c r="N69" s="10"/>
      <c r="O69" s="10"/>
      <c r="P69" s="10"/>
      <c r="Q69" s="10"/>
      <c r="R69" s="10"/>
      <c r="S69" s="10">
        <v>1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>
        <v>10</v>
      </c>
      <c r="AF69" s="10">
        <v>6</v>
      </c>
      <c r="AG69" s="10">
        <v>1</v>
      </c>
      <c r="AH69" s="10">
        <v>3</v>
      </c>
      <c r="AI69" s="10"/>
      <c r="AJ69" s="10"/>
      <c r="AK69" s="10"/>
      <c r="AL69" s="10">
        <v>1</v>
      </c>
      <c r="AM69" s="10"/>
      <c r="AN69" s="10"/>
      <c r="AO69" s="10"/>
      <c r="AP69" s="10">
        <v>1</v>
      </c>
      <c r="AQ69" s="10"/>
      <c r="AR69" s="10"/>
      <c r="AS69" s="10"/>
      <c r="AT69" s="10"/>
      <c r="AU69" s="10"/>
      <c r="AV69" s="10">
        <v>1</v>
      </c>
      <c r="AW69" s="10"/>
      <c r="AX69" s="10"/>
      <c r="AY69" s="10" t="s">
        <v>309</v>
      </c>
      <c r="AZ69" s="7"/>
    </row>
    <row r="70" spans="1:52" x14ac:dyDescent="0.2">
      <c r="A70" s="17">
        <v>68</v>
      </c>
      <c r="B70" s="10">
        <v>38.385120034217799</v>
      </c>
      <c r="C70" s="10">
        <f>-28.2878889609128</f>
        <v>-28.287888960912799</v>
      </c>
      <c r="D70" s="11">
        <v>42959</v>
      </c>
      <c r="E70" s="27" t="s">
        <v>255</v>
      </c>
      <c r="F70" s="27" t="s">
        <v>246</v>
      </c>
      <c r="G70" s="27" t="s">
        <v>267</v>
      </c>
      <c r="H70" s="12">
        <v>0.3807638888888889</v>
      </c>
      <c r="I70" s="12"/>
      <c r="J70" s="12">
        <v>6.9444444444444447E-4</v>
      </c>
      <c r="K70" s="10" t="s">
        <v>163</v>
      </c>
      <c r="L70" s="10" t="s">
        <v>164</v>
      </c>
      <c r="M70" s="10" t="s">
        <v>164</v>
      </c>
      <c r="N70" s="10"/>
      <c r="O70" s="10"/>
      <c r="P70" s="10"/>
      <c r="Q70" s="10"/>
      <c r="R70" s="10">
        <v>1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>
        <v>1</v>
      </c>
      <c r="AD70" s="10"/>
      <c r="AE70" s="10">
        <v>5</v>
      </c>
      <c r="AF70" s="10">
        <v>5</v>
      </c>
      <c r="AG70" s="10"/>
      <c r="AH70" s="10"/>
      <c r="AI70" s="10"/>
      <c r="AJ70" s="10"/>
      <c r="AK70" s="10"/>
      <c r="AL70" s="10">
        <v>1</v>
      </c>
      <c r="AM70" s="10"/>
      <c r="AN70" s="10"/>
      <c r="AO70" s="10"/>
      <c r="AP70" s="10">
        <v>1</v>
      </c>
      <c r="AQ70" s="10"/>
      <c r="AR70" s="10"/>
      <c r="AS70" s="10"/>
      <c r="AT70" s="10"/>
      <c r="AU70" s="10"/>
      <c r="AV70" s="10">
        <v>2</v>
      </c>
      <c r="AW70" s="10"/>
      <c r="AX70" s="10"/>
      <c r="AY70" s="10" t="s">
        <v>309</v>
      </c>
      <c r="AZ70" s="7"/>
    </row>
    <row r="71" spans="1:52" x14ac:dyDescent="0.2">
      <c r="A71" s="17">
        <v>69</v>
      </c>
      <c r="B71" s="10">
        <v>38.386848969384999</v>
      </c>
      <c r="C71" s="10">
        <f>-28.3811470214277</f>
        <v>-28.381147021427701</v>
      </c>
      <c r="D71" s="11">
        <v>42965</v>
      </c>
      <c r="E71" s="27" t="s">
        <v>240</v>
      </c>
      <c r="F71" s="27" t="s">
        <v>246</v>
      </c>
      <c r="G71" s="27" t="s">
        <v>267</v>
      </c>
      <c r="H71" s="12">
        <v>0.44225694444444441</v>
      </c>
      <c r="I71" s="12"/>
      <c r="J71" s="12">
        <v>6.9444444444444447E-4</v>
      </c>
      <c r="K71" s="10" t="s">
        <v>165</v>
      </c>
      <c r="L71" s="10" t="s">
        <v>166</v>
      </c>
      <c r="M71" s="10" t="s">
        <v>166</v>
      </c>
      <c r="N71" s="10"/>
      <c r="O71" s="10"/>
      <c r="P71" s="10"/>
      <c r="Q71" s="10"/>
      <c r="R71" s="10">
        <v>1</v>
      </c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>
        <v>4</v>
      </c>
      <c r="AF71" s="10">
        <v>4</v>
      </c>
      <c r="AG71" s="10"/>
      <c r="AH71" s="10"/>
      <c r="AI71" s="10"/>
      <c r="AJ71" s="10"/>
      <c r="AK71" s="10"/>
      <c r="AL71" s="10"/>
      <c r="AM71" s="10">
        <v>1</v>
      </c>
      <c r="AN71" s="10"/>
      <c r="AO71" s="10"/>
      <c r="AP71" s="10">
        <v>1</v>
      </c>
      <c r="AQ71" s="10"/>
      <c r="AR71" s="10"/>
      <c r="AS71" s="10"/>
      <c r="AT71" s="10"/>
      <c r="AU71" s="10"/>
      <c r="AV71" s="10">
        <v>1</v>
      </c>
      <c r="AW71" s="10"/>
      <c r="AX71" s="10"/>
      <c r="AY71" s="10" t="s">
        <v>309</v>
      </c>
      <c r="AZ71" s="7"/>
    </row>
    <row r="72" spans="1:52" x14ac:dyDescent="0.2">
      <c r="A72" s="17">
        <v>70</v>
      </c>
      <c r="B72" s="10">
        <v>38.34242798388</v>
      </c>
      <c r="C72" s="10">
        <f>-28.1918760202825</f>
        <v>-28.1918760202825</v>
      </c>
      <c r="D72" s="11">
        <v>43279</v>
      </c>
      <c r="E72" s="27" t="s">
        <v>252</v>
      </c>
      <c r="F72" s="27" t="s">
        <v>259</v>
      </c>
      <c r="G72" s="27" t="s">
        <v>268</v>
      </c>
      <c r="H72" s="12">
        <v>0.63442129629629629</v>
      </c>
      <c r="I72" s="12">
        <v>0.63672453703703702</v>
      </c>
      <c r="J72" s="12">
        <f t="shared" ref="J72:J93" si="1">I72-H72</f>
        <v>2.3032407407407307E-3</v>
      </c>
      <c r="K72" s="10" t="s">
        <v>167</v>
      </c>
      <c r="L72" s="10" t="s">
        <v>10</v>
      </c>
      <c r="M72" s="10" t="s">
        <v>169</v>
      </c>
      <c r="N72" s="10"/>
      <c r="O72" s="10"/>
      <c r="P72" s="10"/>
      <c r="Q72" s="10">
        <v>1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8</v>
      </c>
      <c r="AF72" s="10">
        <v>8</v>
      </c>
      <c r="AG72" s="10"/>
      <c r="AH72" s="10"/>
      <c r="AI72" s="10"/>
      <c r="AJ72" s="10"/>
      <c r="AK72" s="10"/>
      <c r="AL72" s="10">
        <v>1</v>
      </c>
      <c r="AM72" s="10"/>
      <c r="AN72" s="10"/>
      <c r="AO72" s="10"/>
      <c r="AP72" s="10"/>
      <c r="AQ72" s="10">
        <v>1</v>
      </c>
      <c r="AR72" s="10"/>
      <c r="AS72" s="10"/>
      <c r="AT72" s="10"/>
      <c r="AU72" s="10"/>
      <c r="AV72" s="10">
        <v>2</v>
      </c>
      <c r="AW72" s="10"/>
      <c r="AX72" s="10"/>
      <c r="AY72" s="10" t="s">
        <v>309</v>
      </c>
      <c r="AZ72" s="7"/>
    </row>
    <row r="73" spans="1:52" x14ac:dyDescent="0.2">
      <c r="A73" s="17">
        <v>71</v>
      </c>
      <c r="B73" s="10">
        <v>38.370267972350099</v>
      </c>
      <c r="C73" s="10">
        <f>-28.3455400262027</f>
        <v>-28.345540026202698</v>
      </c>
      <c r="D73" s="11">
        <v>43285</v>
      </c>
      <c r="E73" s="27" t="s">
        <v>237</v>
      </c>
      <c r="F73" s="27" t="s">
        <v>235</v>
      </c>
      <c r="G73" s="27" t="s">
        <v>268</v>
      </c>
      <c r="H73" s="12">
        <v>0.65997685185185184</v>
      </c>
      <c r="I73" s="12"/>
      <c r="J73" s="12">
        <v>6.9444444444444447E-4</v>
      </c>
      <c r="K73" s="10" t="s">
        <v>170</v>
      </c>
      <c r="L73" s="10" t="s">
        <v>171</v>
      </c>
      <c r="M73" s="10" t="s">
        <v>171</v>
      </c>
      <c r="N73" s="10"/>
      <c r="O73" s="10"/>
      <c r="P73" s="10"/>
      <c r="Q73" s="10"/>
      <c r="R73" s="10">
        <v>1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>
        <v>2</v>
      </c>
      <c r="AF73" s="10">
        <v>2</v>
      </c>
      <c r="AG73" s="10"/>
      <c r="AH73" s="10"/>
      <c r="AI73" s="10"/>
      <c r="AJ73" s="10"/>
      <c r="AK73" s="10"/>
      <c r="AL73" s="10">
        <v>1</v>
      </c>
      <c r="AM73" s="10"/>
      <c r="AN73" s="10"/>
      <c r="AO73" s="10"/>
      <c r="AP73" s="10"/>
      <c r="AQ73" s="10">
        <v>1</v>
      </c>
      <c r="AR73" s="10"/>
      <c r="AS73" s="10"/>
      <c r="AT73" s="10"/>
      <c r="AU73" s="10"/>
      <c r="AV73" s="10">
        <v>2</v>
      </c>
      <c r="AW73" s="10"/>
      <c r="AX73" s="10"/>
      <c r="AY73" s="10" t="s">
        <v>309</v>
      </c>
      <c r="AZ73" s="7"/>
    </row>
    <row r="74" spans="1:52" x14ac:dyDescent="0.2">
      <c r="A74" s="17">
        <v>72</v>
      </c>
      <c r="B74" s="10">
        <v>38.367011016234699</v>
      </c>
      <c r="C74" s="10">
        <f>-28.1950069963932</f>
        <v>-28.1950069963932</v>
      </c>
      <c r="D74" s="11">
        <v>43285</v>
      </c>
      <c r="E74" s="27" t="s">
        <v>237</v>
      </c>
      <c r="F74" s="27" t="s">
        <v>235</v>
      </c>
      <c r="G74" s="27" t="s">
        <v>268</v>
      </c>
      <c r="H74" s="12">
        <v>0.37634259259259256</v>
      </c>
      <c r="I74" s="12">
        <v>0.37994212962962964</v>
      </c>
      <c r="J74" s="12">
        <f t="shared" si="1"/>
        <v>3.5995370370370816E-3</v>
      </c>
      <c r="K74" s="10" t="s">
        <v>172</v>
      </c>
      <c r="L74" s="10" t="s">
        <v>10</v>
      </c>
      <c r="M74" s="10" t="s">
        <v>174</v>
      </c>
      <c r="N74" s="10"/>
      <c r="O74" s="10">
        <v>1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>
        <v>5</v>
      </c>
      <c r="AF74" s="10">
        <v>5</v>
      </c>
      <c r="AG74" s="10"/>
      <c r="AH74" s="10"/>
      <c r="AI74" s="10"/>
      <c r="AJ74" s="10"/>
      <c r="AK74" s="10"/>
      <c r="AL74" s="10">
        <v>1</v>
      </c>
      <c r="AM74" s="10"/>
      <c r="AN74" s="10"/>
      <c r="AO74" s="10">
        <v>1</v>
      </c>
      <c r="AP74" s="10"/>
      <c r="AQ74" s="10"/>
      <c r="AR74" s="10"/>
      <c r="AS74" s="10"/>
      <c r="AT74" s="10"/>
      <c r="AU74" s="10"/>
      <c r="AV74" s="10">
        <v>1</v>
      </c>
      <c r="AW74" s="10"/>
      <c r="AX74" s="10"/>
      <c r="AY74" s="10" t="s">
        <v>309</v>
      </c>
      <c r="AZ74" s="7"/>
    </row>
    <row r="75" spans="1:52" x14ac:dyDescent="0.2">
      <c r="A75" s="17">
        <v>73</v>
      </c>
      <c r="B75" s="10">
        <v>38.396023968234601</v>
      </c>
      <c r="C75" s="10">
        <f>-28.460473017767</f>
        <v>-28.460473017767001</v>
      </c>
      <c r="D75" s="11">
        <v>43288</v>
      </c>
      <c r="E75" s="27" t="s">
        <v>235</v>
      </c>
      <c r="F75" s="27" t="s">
        <v>235</v>
      </c>
      <c r="G75" s="27" t="s">
        <v>268</v>
      </c>
      <c r="H75" s="12">
        <v>0.45849537037037041</v>
      </c>
      <c r="I75" s="12">
        <v>0.45981481481481484</v>
      </c>
      <c r="J75" s="12">
        <f t="shared" si="1"/>
        <v>1.3194444444444287E-3</v>
      </c>
      <c r="K75" s="10" t="s">
        <v>175</v>
      </c>
      <c r="L75" s="10" t="s">
        <v>10</v>
      </c>
      <c r="M75" s="10" t="s">
        <v>177</v>
      </c>
      <c r="N75" s="10"/>
      <c r="O75" s="10">
        <v>1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>
        <v>8</v>
      </c>
      <c r="AF75" s="10">
        <v>6</v>
      </c>
      <c r="AG75" s="10">
        <v>2</v>
      </c>
      <c r="AH75" s="10"/>
      <c r="AI75" s="10"/>
      <c r="AJ75" s="10"/>
      <c r="AK75" s="10"/>
      <c r="AL75" s="10">
        <v>1</v>
      </c>
      <c r="AM75" s="10"/>
      <c r="AN75" s="10"/>
      <c r="AO75" s="10"/>
      <c r="AP75" s="10"/>
      <c r="AQ75" s="10">
        <v>1</v>
      </c>
      <c r="AR75" s="10"/>
      <c r="AS75" s="10"/>
      <c r="AT75" s="10"/>
      <c r="AU75" s="10"/>
      <c r="AV75" s="10">
        <v>2</v>
      </c>
      <c r="AW75" s="10"/>
      <c r="AX75" s="10"/>
      <c r="AY75" s="10" t="s">
        <v>309</v>
      </c>
      <c r="AZ75" s="7"/>
    </row>
    <row r="76" spans="1:52" x14ac:dyDescent="0.2">
      <c r="A76" s="17">
        <v>74</v>
      </c>
      <c r="B76" s="10">
        <v>38.302834974601801</v>
      </c>
      <c r="C76" s="10">
        <f>-28.0097950156778</f>
        <v>-28.009795015677799</v>
      </c>
      <c r="D76" s="11">
        <v>43292</v>
      </c>
      <c r="E76" s="27" t="s">
        <v>264</v>
      </c>
      <c r="F76" s="27" t="s">
        <v>235</v>
      </c>
      <c r="G76" s="27" t="s">
        <v>268</v>
      </c>
      <c r="H76" s="12">
        <v>0.47538194444444448</v>
      </c>
      <c r="I76" s="12">
        <v>0.4768634259259259</v>
      </c>
      <c r="J76" s="12">
        <f t="shared" si="1"/>
        <v>1.481481481481417E-3</v>
      </c>
      <c r="K76" s="10" t="s">
        <v>178</v>
      </c>
      <c r="L76" s="10" t="s">
        <v>179</v>
      </c>
      <c r="M76" s="10" t="s">
        <v>181</v>
      </c>
      <c r="N76" s="10"/>
      <c r="O76" s="10">
        <v>1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>
        <v>2</v>
      </c>
      <c r="AF76" s="10">
        <v>1</v>
      </c>
      <c r="AG76" s="10">
        <v>1</v>
      </c>
      <c r="AH76" s="10"/>
      <c r="AI76" s="10"/>
      <c r="AJ76" s="10"/>
      <c r="AK76" s="10"/>
      <c r="AL76" s="10"/>
      <c r="AM76" s="10">
        <v>1</v>
      </c>
      <c r="AN76" s="10"/>
      <c r="AO76" s="10">
        <v>1</v>
      </c>
      <c r="AP76" s="10"/>
      <c r="AQ76" s="10"/>
      <c r="AR76" s="10"/>
      <c r="AS76" s="10"/>
      <c r="AT76" s="10"/>
      <c r="AU76" s="10"/>
      <c r="AV76" s="10">
        <v>1</v>
      </c>
      <c r="AW76" s="10"/>
      <c r="AX76" s="10"/>
      <c r="AY76" s="10" t="s">
        <v>309</v>
      </c>
      <c r="AZ76" s="7"/>
    </row>
    <row r="77" spans="1:52" x14ac:dyDescent="0.2">
      <c r="A77" s="17">
        <v>75</v>
      </c>
      <c r="B77" s="10">
        <v>38.348562028259003</v>
      </c>
      <c r="C77" s="10">
        <f>-28.3177209924906</f>
        <v>-28.317720992490599</v>
      </c>
      <c r="D77" s="11">
        <v>43297</v>
      </c>
      <c r="E77" s="27" t="s">
        <v>262</v>
      </c>
      <c r="F77" s="27" t="s">
        <v>235</v>
      </c>
      <c r="G77" s="27" t="s">
        <v>268</v>
      </c>
      <c r="H77" s="12">
        <v>0.60481481481481481</v>
      </c>
      <c r="I77" s="12"/>
      <c r="J77" s="12">
        <v>6.9444444444444447E-4</v>
      </c>
      <c r="K77" s="10" t="s">
        <v>182</v>
      </c>
      <c r="L77" s="10" t="s">
        <v>183</v>
      </c>
      <c r="M77" s="10" t="s">
        <v>183</v>
      </c>
      <c r="N77" s="10"/>
      <c r="O77" s="10">
        <v>1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>
        <v>10</v>
      </c>
      <c r="AF77" s="10">
        <v>5</v>
      </c>
      <c r="AG77" s="10">
        <v>1</v>
      </c>
      <c r="AH77" s="10">
        <v>4</v>
      </c>
      <c r="AI77" s="10"/>
      <c r="AJ77" s="10"/>
      <c r="AK77" s="10"/>
      <c r="AL77" s="10"/>
      <c r="AM77" s="10">
        <v>1</v>
      </c>
      <c r="AN77" s="10"/>
      <c r="AO77" s="10"/>
      <c r="AP77" s="10">
        <v>1</v>
      </c>
      <c r="AQ77" s="10"/>
      <c r="AR77" s="10"/>
      <c r="AS77" s="10"/>
      <c r="AT77" s="10"/>
      <c r="AU77" s="10"/>
      <c r="AV77" s="10">
        <v>1</v>
      </c>
      <c r="AW77" s="10"/>
      <c r="AX77" s="10"/>
      <c r="AY77" s="10" t="s">
        <v>309</v>
      </c>
      <c r="AZ77" s="7"/>
    </row>
    <row r="78" spans="1:52" x14ac:dyDescent="0.2">
      <c r="A78" s="17">
        <v>76</v>
      </c>
      <c r="B78" s="10">
        <v>38.336590994149397</v>
      </c>
      <c r="C78" s="10">
        <f>-28.1181860156357</f>
        <v>-28.1181860156357</v>
      </c>
      <c r="D78" s="11">
        <v>43304</v>
      </c>
      <c r="E78" s="27" t="s">
        <v>248</v>
      </c>
      <c r="F78" s="27" t="s">
        <v>235</v>
      </c>
      <c r="G78" s="27" t="s">
        <v>268</v>
      </c>
      <c r="H78" s="12">
        <v>0.45937500000000003</v>
      </c>
      <c r="I78" s="12"/>
      <c r="J78" s="12">
        <v>6.9444444444444447E-4</v>
      </c>
      <c r="K78" s="10" t="s">
        <v>184</v>
      </c>
      <c r="L78" s="10" t="s">
        <v>185</v>
      </c>
      <c r="M78" s="10" t="s">
        <v>185</v>
      </c>
      <c r="N78" s="10"/>
      <c r="O78" s="10"/>
      <c r="P78" s="10"/>
      <c r="Q78" s="10"/>
      <c r="R78" s="10"/>
      <c r="S78" s="10">
        <v>1</v>
      </c>
      <c r="T78" s="10"/>
      <c r="U78" s="10"/>
      <c r="V78" s="10"/>
      <c r="W78" s="10"/>
      <c r="X78" s="10"/>
      <c r="Y78" s="10"/>
      <c r="Z78" s="10"/>
      <c r="AA78" s="10"/>
      <c r="AB78" s="10"/>
      <c r="AC78" s="10">
        <v>1</v>
      </c>
      <c r="AD78" s="10"/>
      <c r="AE78" s="10">
        <v>3</v>
      </c>
      <c r="AF78" s="10">
        <v>2</v>
      </c>
      <c r="AG78" s="10">
        <v>1</v>
      </c>
      <c r="AH78" s="10"/>
      <c r="AI78" s="10"/>
      <c r="AJ78" s="10"/>
      <c r="AK78" s="10"/>
      <c r="AL78" s="10">
        <v>1</v>
      </c>
      <c r="AM78" s="10"/>
      <c r="AN78" s="10"/>
      <c r="AO78" s="10">
        <v>1</v>
      </c>
      <c r="AP78" s="10"/>
      <c r="AQ78" s="10"/>
      <c r="AR78" s="10"/>
      <c r="AS78" s="10"/>
      <c r="AT78" s="10"/>
      <c r="AU78" s="10"/>
      <c r="AV78" s="10">
        <v>2</v>
      </c>
      <c r="AW78" s="10"/>
      <c r="AX78" s="10"/>
      <c r="AY78" s="10" t="s">
        <v>309</v>
      </c>
      <c r="AZ78" s="7"/>
    </row>
    <row r="79" spans="1:52" x14ac:dyDescent="0.2">
      <c r="A79" s="17">
        <v>77</v>
      </c>
      <c r="B79" s="10">
        <v>38.375814026221597</v>
      </c>
      <c r="C79" s="10">
        <f>-28.3389129582792</f>
        <v>-28.338912958279199</v>
      </c>
      <c r="D79" s="11">
        <v>43305</v>
      </c>
      <c r="E79" s="27" t="s">
        <v>249</v>
      </c>
      <c r="F79" s="27" t="s">
        <v>235</v>
      </c>
      <c r="G79" s="27" t="s">
        <v>268</v>
      </c>
      <c r="H79" s="12">
        <v>0.47274305555555557</v>
      </c>
      <c r="I79" s="12">
        <v>0.47496527777777775</v>
      </c>
      <c r="J79" s="12">
        <f t="shared" si="1"/>
        <v>2.222222222222181E-3</v>
      </c>
      <c r="K79" s="10" t="s">
        <v>186</v>
      </c>
      <c r="L79" s="10" t="s">
        <v>10</v>
      </c>
      <c r="M79" s="10" t="s">
        <v>115</v>
      </c>
      <c r="N79" s="10"/>
      <c r="O79" s="10"/>
      <c r="P79" s="10"/>
      <c r="Q79" s="10">
        <v>1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>
        <v>5</v>
      </c>
      <c r="AF79" s="10">
        <v>5</v>
      </c>
      <c r="AG79" s="10"/>
      <c r="AH79" s="10"/>
      <c r="AI79" s="10"/>
      <c r="AJ79" s="10"/>
      <c r="AK79" s="10"/>
      <c r="AL79" s="10"/>
      <c r="AM79" s="10">
        <v>1</v>
      </c>
      <c r="AN79" s="10"/>
      <c r="AO79" s="10"/>
      <c r="AP79" s="10">
        <v>1</v>
      </c>
      <c r="AQ79" s="10"/>
      <c r="AR79" s="10"/>
      <c r="AS79" s="10"/>
      <c r="AT79" s="10"/>
      <c r="AU79" s="10"/>
      <c r="AV79" s="10">
        <v>1</v>
      </c>
      <c r="AW79" s="10"/>
      <c r="AX79" s="10"/>
      <c r="AY79" s="10" t="s">
        <v>309</v>
      </c>
      <c r="AZ79" s="7"/>
    </row>
    <row r="80" spans="1:52" x14ac:dyDescent="0.2">
      <c r="A80" s="17">
        <v>78</v>
      </c>
      <c r="B80" s="10">
        <v>38.378916000947299</v>
      </c>
      <c r="C80" s="10">
        <f>-28.394472990185</f>
        <v>-28.394472990185001</v>
      </c>
      <c r="D80" s="11">
        <v>43312</v>
      </c>
      <c r="E80" s="27" t="s">
        <v>244</v>
      </c>
      <c r="F80" s="27" t="s">
        <v>235</v>
      </c>
      <c r="G80" s="27" t="s">
        <v>268</v>
      </c>
      <c r="H80" s="12">
        <v>0.4836805555555555</v>
      </c>
      <c r="I80" s="12">
        <v>0.48483796296296294</v>
      </c>
      <c r="J80" s="12">
        <f t="shared" si="1"/>
        <v>1.1574074074074403E-3</v>
      </c>
      <c r="K80" s="10" t="s">
        <v>188</v>
      </c>
      <c r="L80" s="10" t="s">
        <v>10</v>
      </c>
      <c r="M80" s="10" t="s">
        <v>190</v>
      </c>
      <c r="N80" s="10"/>
      <c r="O80" s="10"/>
      <c r="P80" s="10"/>
      <c r="Q80" s="10"/>
      <c r="R80" s="10">
        <v>1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>
        <v>6</v>
      </c>
      <c r="AF80" s="10">
        <v>6</v>
      </c>
      <c r="AG80" s="10"/>
      <c r="AH80" s="10"/>
      <c r="AI80" s="10"/>
      <c r="AJ80" s="10"/>
      <c r="AK80" s="10"/>
      <c r="AL80" s="10">
        <v>1</v>
      </c>
      <c r="AM80" s="10"/>
      <c r="AN80" s="10"/>
      <c r="AO80" s="10"/>
      <c r="AP80" s="10">
        <v>1</v>
      </c>
      <c r="AQ80" s="10"/>
      <c r="AR80" s="10"/>
      <c r="AS80" s="10"/>
      <c r="AT80" s="10"/>
      <c r="AU80" s="10"/>
      <c r="AV80" s="10">
        <v>3</v>
      </c>
      <c r="AW80" s="10"/>
      <c r="AX80" s="10"/>
      <c r="AY80" s="10" t="s">
        <v>309</v>
      </c>
      <c r="AZ80" s="7"/>
    </row>
    <row r="81" spans="1:52" x14ac:dyDescent="0.2">
      <c r="A81" s="17">
        <v>79</v>
      </c>
      <c r="B81" s="10">
        <v>38.380490038543897</v>
      </c>
      <c r="C81" s="10">
        <f>-28.4137200191617</f>
        <v>-28.413720019161701</v>
      </c>
      <c r="D81" s="11">
        <v>43313</v>
      </c>
      <c r="E81" s="27" t="s">
        <v>245</v>
      </c>
      <c r="F81" s="27" t="s">
        <v>246</v>
      </c>
      <c r="G81" s="27" t="s">
        <v>268</v>
      </c>
      <c r="H81" s="12">
        <v>0.41212962962962968</v>
      </c>
      <c r="I81" s="12">
        <v>0.41373842592592597</v>
      </c>
      <c r="J81" s="12">
        <f t="shared" si="1"/>
        <v>1.6087962962962887E-3</v>
      </c>
      <c r="K81" s="10" t="s">
        <v>191</v>
      </c>
      <c r="L81" s="10" t="s">
        <v>10</v>
      </c>
      <c r="M81" s="10" t="s">
        <v>193</v>
      </c>
      <c r="N81" s="10"/>
      <c r="O81" s="10"/>
      <c r="P81" s="10"/>
      <c r="Q81" s="10"/>
      <c r="R81" s="10">
        <v>1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>
        <v>4</v>
      </c>
      <c r="AF81" s="10">
        <v>4</v>
      </c>
      <c r="AG81" s="10"/>
      <c r="AH81" s="10"/>
      <c r="AI81" s="10"/>
      <c r="AJ81" s="10"/>
      <c r="AK81" s="10"/>
      <c r="AL81" s="10"/>
      <c r="AM81" s="10">
        <v>1</v>
      </c>
      <c r="AN81" s="10"/>
      <c r="AO81" s="10">
        <v>1</v>
      </c>
      <c r="AP81" s="10"/>
      <c r="AQ81" s="10"/>
      <c r="AR81" s="10"/>
      <c r="AS81" s="10"/>
      <c r="AT81" s="10"/>
      <c r="AU81" s="10"/>
      <c r="AV81" s="10">
        <v>3</v>
      </c>
      <c r="AW81" s="10"/>
      <c r="AX81" s="10"/>
      <c r="AY81" s="10" t="s">
        <v>309</v>
      </c>
      <c r="AZ81" s="7"/>
    </row>
    <row r="82" spans="1:52" x14ac:dyDescent="0.2">
      <c r="A82" s="17">
        <v>80</v>
      </c>
      <c r="B82" s="10">
        <v>38.368079960346201</v>
      </c>
      <c r="C82" s="10">
        <f>-28.3982119895517</f>
        <v>-28.398211989551701</v>
      </c>
      <c r="D82" s="11">
        <v>43313</v>
      </c>
      <c r="E82" s="27" t="s">
        <v>245</v>
      </c>
      <c r="F82" s="27" t="s">
        <v>246</v>
      </c>
      <c r="G82" s="27" t="s">
        <v>268</v>
      </c>
      <c r="H82" s="12">
        <v>0.46211805555555557</v>
      </c>
      <c r="I82" s="12">
        <v>0.46278935185185183</v>
      </c>
      <c r="J82" s="12">
        <f t="shared" si="1"/>
        <v>6.712962962962532E-4</v>
      </c>
      <c r="K82" s="10" t="s">
        <v>194</v>
      </c>
      <c r="L82" s="10" t="s">
        <v>10</v>
      </c>
      <c r="M82" s="10" t="s">
        <v>196</v>
      </c>
      <c r="N82" s="10"/>
      <c r="O82" s="10"/>
      <c r="P82" s="10"/>
      <c r="Q82" s="10"/>
      <c r="R82" s="10">
        <v>1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>
        <v>3</v>
      </c>
      <c r="AF82" s="10">
        <v>3</v>
      </c>
      <c r="AG82" s="10"/>
      <c r="AH82" s="10"/>
      <c r="AI82" s="10"/>
      <c r="AJ82" s="10"/>
      <c r="AK82" s="10"/>
      <c r="AL82" s="10">
        <v>1</v>
      </c>
      <c r="AM82" s="10"/>
      <c r="AN82" s="10"/>
      <c r="AO82" s="10">
        <v>1</v>
      </c>
      <c r="AP82" s="10"/>
      <c r="AQ82" s="10"/>
      <c r="AR82" s="10"/>
      <c r="AS82" s="10"/>
      <c r="AT82" s="10"/>
      <c r="AU82" s="10"/>
      <c r="AV82" s="10">
        <v>3</v>
      </c>
      <c r="AW82" s="10"/>
      <c r="AX82" s="10"/>
      <c r="AY82" s="10" t="s">
        <v>309</v>
      </c>
      <c r="AZ82" s="7"/>
    </row>
    <row r="83" spans="1:52" x14ac:dyDescent="0.2">
      <c r="A83" s="17">
        <v>81</v>
      </c>
      <c r="B83" s="10">
        <v>38.346789004281099</v>
      </c>
      <c r="C83" s="10">
        <f>-28.1486549880355</f>
        <v>-28.148654988035499</v>
      </c>
      <c r="D83" s="11">
        <v>43314</v>
      </c>
      <c r="E83" s="27" t="s">
        <v>234</v>
      </c>
      <c r="F83" s="27" t="s">
        <v>246</v>
      </c>
      <c r="G83" s="27" t="s">
        <v>268</v>
      </c>
      <c r="H83" s="12">
        <v>0.42200231481481482</v>
      </c>
      <c r="I83" s="12">
        <v>0.42410879629629633</v>
      </c>
      <c r="J83" s="12">
        <f t="shared" si="1"/>
        <v>2.1064814814815147E-3</v>
      </c>
      <c r="K83" s="10" t="s">
        <v>197</v>
      </c>
      <c r="L83" s="10" t="s">
        <v>10</v>
      </c>
      <c r="M83" s="10" t="s">
        <v>199</v>
      </c>
      <c r="N83" s="10"/>
      <c r="O83" s="10">
        <v>1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>
        <v>5</v>
      </c>
      <c r="AF83" s="10">
        <v>5</v>
      </c>
      <c r="AG83" s="10"/>
      <c r="AH83" s="10"/>
      <c r="AI83" s="10"/>
      <c r="AJ83" s="10"/>
      <c r="AK83" s="10">
        <v>1</v>
      </c>
      <c r="AL83" s="10"/>
      <c r="AM83" s="10"/>
      <c r="AN83" s="10"/>
      <c r="AO83" s="10"/>
      <c r="AP83" s="10">
        <v>1</v>
      </c>
      <c r="AQ83" s="10"/>
      <c r="AR83" s="10"/>
      <c r="AS83" s="10"/>
      <c r="AT83" s="10"/>
      <c r="AU83" s="10"/>
      <c r="AV83" s="10">
        <v>1</v>
      </c>
      <c r="AW83" s="10"/>
      <c r="AX83" s="10"/>
      <c r="AY83" s="10" t="s">
        <v>309</v>
      </c>
      <c r="AZ83" s="7"/>
    </row>
    <row r="84" spans="1:52" x14ac:dyDescent="0.2">
      <c r="A84" s="17">
        <v>82</v>
      </c>
      <c r="B84" s="10">
        <v>38.342767031863303</v>
      </c>
      <c r="C84" s="10">
        <f>-28.1409419607371</f>
        <v>-28.140941960737099</v>
      </c>
      <c r="D84" s="11">
        <v>43314</v>
      </c>
      <c r="E84" s="27" t="s">
        <v>234</v>
      </c>
      <c r="F84" s="27" t="s">
        <v>246</v>
      </c>
      <c r="G84" s="27" t="s">
        <v>268</v>
      </c>
      <c r="H84" s="12">
        <v>0.4274074074074074</v>
      </c>
      <c r="I84" s="12">
        <v>0.44548611111111108</v>
      </c>
      <c r="J84" s="12">
        <f t="shared" si="1"/>
        <v>1.807870370370368E-2</v>
      </c>
      <c r="K84" s="10" t="s">
        <v>200</v>
      </c>
      <c r="L84" s="10" t="s">
        <v>10</v>
      </c>
      <c r="M84" s="10" t="s">
        <v>202</v>
      </c>
      <c r="N84" s="10"/>
      <c r="O84" s="10">
        <v>1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>
        <v>1</v>
      </c>
      <c r="AA84" s="10"/>
      <c r="AB84" s="10"/>
      <c r="AC84" s="10"/>
      <c r="AD84" s="10"/>
      <c r="AE84" s="10">
        <v>5</v>
      </c>
      <c r="AF84" s="10">
        <v>5</v>
      </c>
      <c r="AG84" s="10"/>
      <c r="AH84" s="10"/>
      <c r="AI84" s="10"/>
      <c r="AJ84" s="10"/>
      <c r="AK84" s="10">
        <v>1</v>
      </c>
      <c r="AL84" s="10"/>
      <c r="AM84" s="10"/>
      <c r="AN84" s="10"/>
      <c r="AO84" s="10">
        <v>1</v>
      </c>
      <c r="AP84" s="10"/>
      <c r="AQ84" s="10"/>
      <c r="AR84" s="10"/>
      <c r="AS84" s="10"/>
      <c r="AT84" s="10"/>
      <c r="AU84" s="10"/>
      <c r="AV84" s="10">
        <v>1</v>
      </c>
      <c r="AW84" s="10"/>
      <c r="AX84" s="10"/>
      <c r="AY84" s="10" t="s">
        <v>309</v>
      </c>
      <c r="AZ84" s="7"/>
    </row>
    <row r="85" spans="1:52" x14ac:dyDescent="0.2">
      <c r="A85" s="17">
        <v>83</v>
      </c>
      <c r="B85" s="10">
        <v>38.353732991963597</v>
      </c>
      <c r="C85" s="10">
        <f>-28.3560080174356</f>
        <v>-28.356008017435599</v>
      </c>
      <c r="D85" s="11">
        <v>43314</v>
      </c>
      <c r="E85" s="27" t="s">
        <v>234</v>
      </c>
      <c r="F85" s="27" t="s">
        <v>246</v>
      </c>
      <c r="G85" s="27" t="s">
        <v>268</v>
      </c>
      <c r="H85" s="12">
        <v>0.61045138888888884</v>
      </c>
      <c r="I85" s="12"/>
      <c r="J85" s="12">
        <v>6.9444444444444447E-4</v>
      </c>
      <c r="K85" s="10" t="s">
        <v>203</v>
      </c>
      <c r="L85" s="10" t="s">
        <v>204</v>
      </c>
      <c r="M85" s="10" t="s">
        <v>204</v>
      </c>
      <c r="N85" s="10"/>
      <c r="O85" s="10"/>
      <c r="P85" s="10"/>
      <c r="Q85" s="10"/>
      <c r="R85" s="10">
        <v>1</v>
      </c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>
        <v>8</v>
      </c>
      <c r="AF85" s="10">
        <v>8</v>
      </c>
      <c r="AG85" s="10"/>
      <c r="AH85" s="10"/>
      <c r="AI85" s="10"/>
      <c r="AJ85" s="10"/>
      <c r="AK85" s="10"/>
      <c r="AL85" s="10"/>
      <c r="AM85" s="10">
        <v>1</v>
      </c>
      <c r="AN85" s="10"/>
      <c r="AO85" s="10">
        <v>1</v>
      </c>
      <c r="AP85" s="10"/>
      <c r="AQ85" s="10"/>
      <c r="AR85" s="10"/>
      <c r="AS85" s="10"/>
      <c r="AT85" s="10"/>
      <c r="AU85" s="10"/>
      <c r="AV85" s="10">
        <v>1</v>
      </c>
      <c r="AW85" s="10"/>
      <c r="AX85" s="10"/>
      <c r="AY85" s="10" t="s">
        <v>309</v>
      </c>
      <c r="AZ85" s="7"/>
    </row>
    <row r="86" spans="1:52" x14ac:dyDescent="0.2">
      <c r="A86" s="17">
        <v>84</v>
      </c>
      <c r="B86" s="10">
        <v>38.265280025079797</v>
      </c>
      <c r="C86" s="10">
        <f>-28.3637989964336</f>
        <v>-28.363798996433601</v>
      </c>
      <c r="D86" s="11">
        <v>43316</v>
      </c>
      <c r="E86" s="27" t="s">
        <v>237</v>
      </c>
      <c r="F86" s="27" t="s">
        <v>246</v>
      </c>
      <c r="G86" s="27" t="s">
        <v>268</v>
      </c>
      <c r="H86" s="12">
        <v>0.79912037037037031</v>
      </c>
      <c r="I86" s="12">
        <v>0.79996527777777782</v>
      </c>
      <c r="J86" s="12">
        <f t="shared" si="1"/>
        <v>8.4490740740750248E-4</v>
      </c>
      <c r="K86" s="10" t="s">
        <v>205</v>
      </c>
      <c r="L86" s="10" t="s">
        <v>10</v>
      </c>
      <c r="M86" s="10" t="s">
        <v>207</v>
      </c>
      <c r="N86" s="10"/>
      <c r="O86" s="10"/>
      <c r="P86" s="10"/>
      <c r="Q86" s="10"/>
      <c r="R86" s="10">
        <v>1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>
        <v>8</v>
      </c>
      <c r="AF86" s="10">
        <v>8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>
        <v>1</v>
      </c>
      <c r="AR86" s="10"/>
      <c r="AS86" s="10"/>
      <c r="AT86" s="10"/>
      <c r="AU86" s="10"/>
      <c r="AV86" s="10">
        <v>3</v>
      </c>
      <c r="AW86" s="10"/>
      <c r="AX86" s="10"/>
      <c r="AY86" s="10" t="s">
        <v>309</v>
      </c>
      <c r="AZ86" s="7"/>
    </row>
    <row r="87" spans="1:52" x14ac:dyDescent="0.2">
      <c r="A87" s="17">
        <v>85</v>
      </c>
      <c r="B87" s="10">
        <v>38.335094992071298</v>
      </c>
      <c r="C87" s="10">
        <f>-28.0708659812808</f>
        <v>-28.0708659812808</v>
      </c>
      <c r="D87" s="11">
        <v>43319</v>
      </c>
      <c r="E87" s="27" t="s">
        <v>235</v>
      </c>
      <c r="F87" s="27" t="s">
        <v>246</v>
      </c>
      <c r="G87" s="27" t="s">
        <v>268</v>
      </c>
      <c r="H87" s="12">
        <v>0.47076388888888893</v>
      </c>
      <c r="I87" s="12"/>
      <c r="J87" s="12">
        <v>6.9444444444444447E-4</v>
      </c>
      <c r="K87" s="10" t="s">
        <v>208</v>
      </c>
      <c r="L87" s="10" t="s">
        <v>209</v>
      </c>
      <c r="M87" s="10" t="s">
        <v>209</v>
      </c>
      <c r="N87" s="10"/>
      <c r="O87" s="10">
        <v>1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>
        <v>10</v>
      </c>
      <c r="AF87" s="10">
        <v>8</v>
      </c>
      <c r="AG87" s="10">
        <v>2</v>
      </c>
      <c r="AH87" s="10"/>
      <c r="AI87" s="10"/>
      <c r="AJ87" s="10"/>
      <c r="AK87" s="10"/>
      <c r="AL87" s="10">
        <v>1</v>
      </c>
      <c r="AM87" s="10"/>
      <c r="AN87" s="10"/>
      <c r="AO87" s="10">
        <v>1</v>
      </c>
      <c r="AP87" s="10"/>
      <c r="AQ87" s="10"/>
      <c r="AR87" s="10"/>
      <c r="AS87" s="10"/>
      <c r="AT87" s="10"/>
      <c r="AU87" s="10"/>
      <c r="AV87" s="10">
        <v>1</v>
      </c>
      <c r="AW87" s="10"/>
      <c r="AX87" s="10"/>
      <c r="AY87" s="10" t="s">
        <v>309</v>
      </c>
      <c r="AZ87" s="7"/>
    </row>
    <row r="88" spans="1:52" x14ac:dyDescent="0.2">
      <c r="A88" s="17">
        <v>86</v>
      </c>
      <c r="B88" s="10">
        <v>38.282354967668603</v>
      </c>
      <c r="C88" s="10">
        <f>-28.2923410087823</f>
        <v>-28.292341008782302</v>
      </c>
      <c r="D88" s="11">
        <v>43319</v>
      </c>
      <c r="E88" s="27" t="s">
        <v>235</v>
      </c>
      <c r="F88" s="27" t="s">
        <v>246</v>
      </c>
      <c r="G88" s="27" t="s">
        <v>268</v>
      </c>
      <c r="H88" s="12">
        <v>0.68166666666666664</v>
      </c>
      <c r="I88" s="12">
        <v>0.68474537037037031</v>
      </c>
      <c r="J88" s="12">
        <f t="shared" si="1"/>
        <v>3.0787037037036669E-3</v>
      </c>
      <c r="K88" s="10" t="s">
        <v>210</v>
      </c>
      <c r="L88" s="10" t="s">
        <v>10</v>
      </c>
      <c r="M88" s="10" t="s">
        <v>212</v>
      </c>
      <c r="N88" s="10"/>
      <c r="O88" s="10">
        <v>1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>
        <v>1</v>
      </c>
      <c r="AA88" s="10"/>
      <c r="AB88" s="10"/>
      <c r="AC88" s="10"/>
      <c r="AD88" s="10"/>
      <c r="AE88" s="10">
        <v>6</v>
      </c>
      <c r="AF88" s="10">
        <v>4</v>
      </c>
      <c r="AG88" s="10">
        <v>2</v>
      </c>
      <c r="AH88" s="10"/>
      <c r="AI88" s="10"/>
      <c r="AJ88" s="10"/>
      <c r="AK88" s="10"/>
      <c r="AL88" s="10">
        <v>1</v>
      </c>
      <c r="AM88" s="10"/>
      <c r="AN88" s="10"/>
      <c r="AO88" s="10"/>
      <c r="AP88" s="10">
        <v>1</v>
      </c>
      <c r="AQ88" s="10"/>
      <c r="AR88" s="10"/>
      <c r="AS88" s="10"/>
      <c r="AT88" s="10"/>
      <c r="AU88" s="10"/>
      <c r="AV88" s="10">
        <v>1</v>
      </c>
      <c r="AW88" s="10"/>
      <c r="AX88" s="10"/>
      <c r="AY88" s="10" t="s">
        <v>309</v>
      </c>
      <c r="AZ88" s="7"/>
    </row>
    <row r="89" spans="1:52" x14ac:dyDescent="0.2">
      <c r="A89" s="17">
        <v>87</v>
      </c>
      <c r="B89" s="10">
        <v>38.3382080309093</v>
      </c>
      <c r="C89" s="10">
        <f>-28.4355820342898</f>
        <v>-28.435582034289801</v>
      </c>
      <c r="D89" s="11">
        <v>43320</v>
      </c>
      <c r="E89" s="27" t="s">
        <v>246</v>
      </c>
      <c r="F89" s="27" t="s">
        <v>246</v>
      </c>
      <c r="G89" s="27" t="s">
        <v>268</v>
      </c>
      <c r="H89" s="12">
        <v>0.45460648148148147</v>
      </c>
      <c r="I89" s="12">
        <v>0.45979166666666665</v>
      </c>
      <c r="J89" s="12">
        <f t="shared" si="1"/>
        <v>5.1851851851851816E-3</v>
      </c>
      <c r="K89" s="10" t="s">
        <v>213</v>
      </c>
      <c r="L89" s="10" t="s">
        <v>10</v>
      </c>
      <c r="M89" s="10" t="s">
        <v>215</v>
      </c>
      <c r="N89" s="10"/>
      <c r="O89" s="10">
        <v>1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>
        <v>3</v>
      </c>
      <c r="AF89" s="10">
        <v>3</v>
      </c>
      <c r="AG89" s="10"/>
      <c r="AH89" s="10"/>
      <c r="AI89" s="10"/>
      <c r="AJ89" s="10"/>
      <c r="AK89" s="10">
        <v>1</v>
      </c>
      <c r="AL89" s="10"/>
      <c r="AM89" s="10"/>
      <c r="AN89" s="10"/>
      <c r="AO89" s="10">
        <v>1</v>
      </c>
      <c r="AP89" s="10"/>
      <c r="AQ89" s="10"/>
      <c r="AR89" s="10"/>
      <c r="AS89" s="10"/>
      <c r="AT89" s="10"/>
      <c r="AU89" s="10"/>
      <c r="AV89" s="10">
        <v>1</v>
      </c>
      <c r="AW89" s="10"/>
      <c r="AX89" s="10"/>
      <c r="AY89" s="10" t="s">
        <v>309</v>
      </c>
      <c r="AZ89" s="7"/>
    </row>
    <row r="90" spans="1:52" x14ac:dyDescent="0.2">
      <c r="A90" s="17">
        <v>88</v>
      </c>
      <c r="B90" s="10">
        <v>38.378434963524299</v>
      </c>
      <c r="C90" s="10">
        <f>-28.1290600262582</f>
        <v>-28.129060026258198</v>
      </c>
      <c r="D90" s="11">
        <v>43338</v>
      </c>
      <c r="E90" s="27" t="s">
        <v>258</v>
      </c>
      <c r="F90" s="27" t="s">
        <v>246</v>
      </c>
      <c r="G90" s="27" t="s">
        <v>268</v>
      </c>
      <c r="H90" s="12">
        <v>0.64565972222222223</v>
      </c>
      <c r="I90" s="12">
        <v>0.65234953703703702</v>
      </c>
      <c r="J90" s="12">
        <f t="shared" si="1"/>
        <v>6.6898148148147873E-3</v>
      </c>
      <c r="K90" s="10" t="s">
        <v>216</v>
      </c>
      <c r="L90" s="10" t="s">
        <v>10</v>
      </c>
      <c r="M90" s="10" t="s">
        <v>218</v>
      </c>
      <c r="N90" s="10"/>
      <c r="O90" s="10">
        <v>1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>
        <v>5</v>
      </c>
      <c r="AF90" s="10">
        <v>5</v>
      </c>
      <c r="AG90" s="10"/>
      <c r="AH90" s="10"/>
      <c r="AI90" s="10"/>
      <c r="AJ90" s="10"/>
      <c r="AK90" s="10">
        <v>1</v>
      </c>
      <c r="AL90" s="10"/>
      <c r="AM90" s="10"/>
      <c r="AN90" s="10"/>
      <c r="AO90" s="10">
        <v>1</v>
      </c>
      <c r="AP90" s="10"/>
      <c r="AQ90" s="10"/>
      <c r="AR90" s="10"/>
      <c r="AS90" s="10"/>
      <c r="AT90" s="10"/>
      <c r="AU90" s="10"/>
      <c r="AV90" s="10">
        <v>1</v>
      </c>
      <c r="AW90" s="10"/>
      <c r="AX90" s="10"/>
      <c r="AY90" s="10" t="s">
        <v>309</v>
      </c>
      <c r="AZ90" s="7"/>
    </row>
    <row r="91" spans="1:52" x14ac:dyDescent="0.2">
      <c r="A91" s="17">
        <v>89</v>
      </c>
      <c r="B91" s="10">
        <v>38.368775993585501</v>
      </c>
      <c r="C91" s="10">
        <f>-28.5308769810944</f>
        <v>-28.530876981094401</v>
      </c>
      <c r="D91" s="11">
        <v>43339</v>
      </c>
      <c r="E91" s="27" t="s">
        <v>251</v>
      </c>
      <c r="F91" s="27" t="s">
        <v>246</v>
      </c>
      <c r="G91" s="27" t="s">
        <v>268</v>
      </c>
      <c r="H91" s="12">
        <v>0.45425925925925931</v>
      </c>
      <c r="I91" s="12">
        <v>0.46083333333333337</v>
      </c>
      <c r="J91" s="12">
        <f t="shared" si="1"/>
        <v>6.5740740740740655E-3</v>
      </c>
      <c r="K91" s="10" t="s">
        <v>219</v>
      </c>
      <c r="L91" s="10" t="s">
        <v>10</v>
      </c>
      <c r="M91" s="10" t="s">
        <v>221</v>
      </c>
      <c r="N91" s="10"/>
      <c r="O91" s="10">
        <v>1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>
        <v>1</v>
      </c>
      <c r="AA91" s="10"/>
      <c r="AB91" s="10"/>
      <c r="AC91" s="10"/>
      <c r="AD91" s="10"/>
      <c r="AE91" s="10">
        <v>6</v>
      </c>
      <c r="AF91" s="10">
        <v>6</v>
      </c>
      <c r="AG91" s="10"/>
      <c r="AH91" s="10"/>
      <c r="AI91" s="10"/>
      <c r="AJ91" s="10"/>
      <c r="AK91" s="10"/>
      <c r="AL91" s="10"/>
      <c r="AM91" s="10">
        <v>1</v>
      </c>
      <c r="AN91" s="10"/>
      <c r="AO91" s="10">
        <v>1</v>
      </c>
      <c r="AP91" s="10"/>
      <c r="AQ91" s="10"/>
      <c r="AR91" s="10"/>
      <c r="AS91" s="10"/>
      <c r="AT91" s="10"/>
      <c r="AU91" s="10"/>
      <c r="AV91" s="10">
        <v>1</v>
      </c>
      <c r="AW91" s="10"/>
      <c r="AX91" s="10"/>
      <c r="AY91" s="10" t="s">
        <v>309</v>
      </c>
      <c r="AZ91" s="7"/>
    </row>
    <row r="92" spans="1:52" x14ac:dyDescent="0.2">
      <c r="A92" s="17">
        <v>90</v>
      </c>
      <c r="B92" s="10">
        <v>38.380360035225699</v>
      </c>
      <c r="C92" s="10">
        <f>-28.4443200007081</f>
        <v>-28.4443200007081</v>
      </c>
      <c r="D92" s="11">
        <v>43339</v>
      </c>
      <c r="E92" s="27" t="s">
        <v>251</v>
      </c>
      <c r="F92" s="27" t="s">
        <v>246</v>
      </c>
      <c r="G92" s="27" t="s">
        <v>268</v>
      </c>
      <c r="H92" s="12">
        <v>0.47738425925925926</v>
      </c>
      <c r="I92" s="12">
        <v>0.47988425925925932</v>
      </c>
      <c r="J92" s="12">
        <f t="shared" si="1"/>
        <v>2.5000000000000577E-3</v>
      </c>
      <c r="K92" s="10" t="s">
        <v>222</v>
      </c>
      <c r="L92" s="10" t="s">
        <v>10</v>
      </c>
      <c r="M92" s="10" t="s">
        <v>224</v>
      </c>
      <c r="N92" s="10"/>
      <c r="O92" s="10">
        <v>1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>
        <v>6</v>
      </c>
      <c r="AF92" s="10">
        <v>6</v>
      </c>
      <c r="AG92" s="10"/>
      <c r="AH92" s="10"/>
      <c r="AI92" s="10"/>
      <c r="AJ92" s="10"/>
      <c r="AK92" s="10"/>
      <c r="AL92" s="10"/>
      <c r="AM92" s="10">
        <v>1</v>
      </c>
      <c r="AN92" s="10"/>
      <c r="AO92" s="10">
        <v>1</v>
      </c>
      <c r="AP92" s="10"/>
      <c r="AQ92" s="10"/>
      <c r="AR92" s="10"/>
      <c r="AS92" s="10"/>
      <c r="AT92" s="10"/>
      <c r="AU92" s="10"/>
      <c r="AV92" s="10">
        <v>1</v>
      </c>
      <c r="AW92" s="10"/>
      <c r="AX92" s="10"/>
      <c r="AY92" s="10" t="s">
        <v>309</v>
      </c>
      <c r="AZ92" s="7"/>
    </row>
    <row r="93" spans="1:52" x14ac:dyDescent="0.2">
      <c r="A93" s="17">
        <v>91</v>
      </c>
      <c r="B93" s="10">
        <v>38.345841011032398</v>
      </c>
      <c r="C93" s="10">
        <f>-28.1740099936723</f>
        <v>-28.1740099936723</v>
      </c>
      <c r="D93" s="11">
        <v>43356</v>
      </c>
      <c r="E93" s="27" t="s">
        <v>269</v>
      </c>
      <c r="F93" s="27" t="s">
        <v>238</v>
      </c>
      <c r="G93" s="27" t="s">
        <v>268</v>
      </c>
      <c r="H93" s="12">
        <v>0.38233796296296302</v>
      </c>
      <c r="I93" s="12">
        <v>0.38370370370370371</v>
      </c>
      <c r="J93" s="12">
        <f t="shared" si="1"/>
        <v>1.3657407407406952E-3</v>
      </c>
      <c r="K93" s="10" t="s">
        <v>225</v>
      </c>
      <c r="L93" s="10" t="s">
        <v>10</v>
      </c>
      <c r="M93" s="10" t="s">
        <v>227</v>
      </c>
      <c r="N93" s="10"/>
      <c r="O93" s="10"/>
      <c r="P93" s="10"/>
      <c r="Q93" s="10"/>
      <c r="R93" s="10"/>
      <c r="S93" s="10">
        <v>1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>
        <v>2</v>
      </c>
      <c r="AF93" s="10">
        <v>2</v>
      </c>
      <c r="AG93" s="10"/>
      <c r="AH93" s="10"/>
      <c r="AI93" s="10"/>
      <c r="AJ93" s="10"/>
      <c r="AK93" s="10"/>
      <c r="AL93" s="10"/>
      <c r="AM93" s="10">
        <v>1</v>
      </c>
      <c r="AN93" s="10"/>
      <c r="AO93" s="10"/>
      <c r="AP93" s="10"/>
      <c r="AQ93" s="10">
        <v>1</v>
      </c>
      <c r="AR93" s="10"/>
      <c r="AS93" s="10"/>
      <c r="AT93" s="10"/>
      <c r="AU93" s="10"/>
      <c r="AV93" s="10">
        <v>2</v>
      </c>
      <c r="AW93" s="10"/>
      <c r="AX93" s="10"/>
      <c r="AY93" s="10" t="s">
        <v>309</v>
      </c>
      <c r="AZ93" s="7"/>
    </row>
    <row r="94" spans="1:52" ht="17" thickBot="1" x14ac:dyDescent="0.25">
      <c r="A94" s="18">
        <v>92</v>
      </c>
      <c r="B94" s="19">
        <v>38.345358967781003</v>
      </c>
      <c r="C94" s="19">
        <f>-28.231099974364</f>
        <v>-28.231099974364</v>
      </c>
      <c r="D94" s="20">
        <v>43356</v>
      </c>
      <c r="E94" s="28" t="s">
        <v>269</v>
      </c>
      <c r="F94" s="28" t="s">
        <v>238</v>
      </c>
      <c r="G94" s="28" t="s">
        <v>268</v>
      </c>
      <c r="H94" s="21">
        <v>0.68237268518518512</v>
      </c>
      <c r="I94" s="21"/>
      <c r="J94" s="21">
        <v>6.9444444444444447E-4</v>
      </c>
      <c r="K94" s="19" t="s">
        <v>228</v>
      </c>
      <c r="L94" s="19" t="s">
        <v>229</v>
      </c>
      <c r="M94" s="19" t="s">
        <v>229</v>
      </c>
      <c r="N94" s="19"/>
      <c r="O94" s="19">
        <v>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>
        <v>3</v>
      </c>
      <c r="AF94" s="19">
        <v>3</v>
      </c>
      <c r="AG94" s="19"/>
      <c r="AH94" s="19"/>
      <c r="AI94" s="19"/>
      <c r="AJ94" s="19"/>
      <c r="AK94" s="19"/>
      <c r="AL94" s="19">
        <v>1</v>
      </c>
      <c r="AM94" s="19"/>
      <c r="AN94" s="19"/>
      <c r="AO94" s="19"/>
      <c r="AP94" s="19"/>
      <c r="AQ94" s="19">
        <v>1</v>
      </c>
      <c r="AR94" s="19"/>
      <c r="AS94" s="19"/>
      <c r="AT94" s="19"/>
      <c r="AU94" s="19"/>
      <c r="AV94" s="19">
        <v>3</v>
      </c>
      <c r="AW94" s="19"/>
      <c r="AX94" s="19"/>
      <c r="AY94" s="10" t="s">
        <v>309</v>
      </c>
      <c r="AZ94" s="22"/>
    </row>
  </sheetData>
  <mergeCells count="4">
    <mergeCell ref="N1:AD1"/>
    <mergeCell ref="AE1:AJ1"/>
    <mergeCell ref="AK1:AN1"/>
    <mergeCell ref="AO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All</vt:lpstr>
      <vt:lpstr>Análise</vt:lpstr>
      <vt:lpstr>Posições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Santos</dc:creator>
  <cp:lastModifiedBy>Rui Santos</cp:lastModifiedBy>
  <dcterms:created xsi:type="dcterms:W3CDTF">2019-07-30T13:12:30Z</dcterms:created>
  <dcterms:modified xsi:type="dcterms:W3CDTF">2023-12-20T16:08:24Z</dcterms:modified>
</cp:coreProperties>
</file>