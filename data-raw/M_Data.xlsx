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uisantos/Desktop/azores.breeding-main/data-raw/"/>
    </mc:Choice>
  </mc:AlternateContent>
  <xr:revisionPtr revIDLastSave="0" documentId="13_ncr:1_{23077B57-65F9-B545-8233-DB2482AF418B}" xr6:coauthVersionLast="47" xr6:coauthVersionMax="47" xr10:uidLastSave="{00000000-0000-0000-0000-000000000000}"/>
  <bookViews>
    <workbookView xWindow="280" yWindow="760" windowWidth="28240" windowHeight="16120" activeTab="3" xr2:uid="{4407DD21-2360-2542-9610-BF696DD181C2}"/>
  </bookViews>
  <sheets>
    <sheet name="All" sheetId="1" r:id="rId1"/>
    <sheet name="Análise" sheetId="2" r:id="rId2"/>
    <sheet name="Posições" sheetId="3" r:id="rId3"/>
    <sheet name="Data" sheetId="4" r:id="rId4"/>
  </sheets>
  <externalReferences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4" i="4" l="1"/>
  <c r="C33" i="4"/>
  <c r="C32" i="4"/>
  <c r="J31" i="4"/>
  <c r="C31" i="4"/>
  <c r="C30" i="4"/>
  <c r="C29" i="4"/>
  <c r="J28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J7" i="4"/>
  <c r="C7" i="4"/>
  <c r="C6" i="4"/>
  <c r="C5" i="4"/>
  <c r="C4" i="4"/>
  <c r="J3" i="4"/>
  <c r="C3" i="4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G7" i="2"/>
  <c r="G28" i="2"/>
  <c r="G31" i="2"/>
  <c r="G3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38" i="1" l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<sst xmlns="http://schemas.openxmlformats.org/spreadsheetml/2006/main" count="673" uniqueCount="147">
  <si>
    <t>lat</t>
  </si>
  <si>
    <t>lon</t>
  </si>
  <si>
    <t>name</t>
  </si>
  <si>
    <t>M_20130607.01B</t>
  </si>
  <si>
    <t>M</t>
  </si>
  <si>
    <t>M_20130607.01E</t>
  </si>
  <si>
    <t>M TS 4</t>
  </si>
  <si>
    <t>M_20130622.01</t>
  </si>
  <si>
    <t>M TS 2</t>
  </si>
  <si>
    <t>M_20140415.01</t>
  </si>
  <si>
    <t>M FO 2</t>
  </si>
  <si>
    <t>M_20140603.01</t>
  </si>
  <si>
    <t>M TS H 1 I 0</t>
  </si>
  <si>
    <t>M_20140623.01B</t>
  </si>
  <si>
    <t>M_20140623.01E</t>
  </si>
  <si>
    <t>M TF 1 E 1</t>
  </si>
  <si>
    <t>M_20150806.01</t>
  </si>
  <si>
    <t>M TF 4 E 3 3</t>
  </si>
  <si>
    <t>M_20150818.01</t>
  </si>
  <si>
    <t>M TS 5 I 1 4</t>
  </si>
  <si>
    <t>M_20160713.01</t>
  </si>
  <si>
    <t>M M H 3 I 0 4</t>
  </si>
  <si>
    <t>M_20160719.01</t>
  </si>
  <si>
    <t>M M 1 I 1 1</t>
  </si>
  <si>
    <t>M_20160722.01</t>
  </si>
  <si>
    <t>M M 5 2 I 1 2</t>
  </si>
  <si>
    <t>M_20160722.02</t>
  </si>
  <si>
    <t>M TS H 4 I 1 3</t>
  </si>
  <si>
    <t>M_20160725.01</t>
  </si>
  <si>
    <t>M TS H 5 1 I 0 1</t>
  </si>
  <si>
    <t>M_20160812.01</t>
  </si>
  <si>
    <t>M M H 15 3 3 I 1 1</t>
  </si>
  <si>
    <t>M_20160823.01</t>
  </si>
  <si>
    <t>M NI 3 I 1 1</t>
  </si>
  <si>
    <t>M_20160828.01</t>
  </si>
  <si>
    <t>M NI 2 I 2 3</t>
  </si>
  <si>
    <t>M_20160901.01</t>
  </si>
  <si>
    <t>M TS H 2 I 1 1</t>
  </si>
  <si>
    <t>M_20160901.02</t>
  </si>
  <si>
    <t>M TS 2   1 I 1 1</t>
  </si>
  <si>
    <t>M_20160922.01</t>
  </si>
  <si>
    <t>M TA H 3 I 1 2</t>
  </si>
  <si>
    <t>M_20161105.01</t>
  </si>
  <si>
    <t>M TS H  3 E 2 2</t>
  </si>
  <si>
    <t>M_20170701.01</t>
  </si>
  <si>
    <t>M TS 1 I 2 1</t>
  </si>
  <si>
    <t>M_20170723.01</t>
  </si>
  <si>
    <t>M TS H 5 3 I 2 2</t>
  </si>
  <si>
    <t>M_20170823.01</t>
  </si>
  <si>
    <t>M TF 5 I 1 2</t>
  </si>
  <si>
    <t>M_20170824.01</t>
  </si>
  <si>
    <t>M TS H 4 I 2 3</t>
  </si>
  <si>
    <t>M_20170825.01</t>
  </si>
  <si>
    <t>M TS 5 E 2 3</t>
  </si>
  <si>
    <t>M_20180709.01</t>
  </si>
  <si>
    <t>M 2  1 E 2 2</t>
  </si>
  <si>
    <t>M_20180716.01B</t>
  </si>
  <si>
    <t>M_20180716.01E</t>
  </si>
  <si>
    <t>M TS H 4 A 1 1</t>
  </si>
  <si>
    <t>M_20180717.01</t>
  </si>
  <si>
    <t>M TS H 3 1 E 1 1</t>
  </si>
  <si>
    <t>M_20180730.01</t>
  </si>
  <si>
    <t>M TA 5 2 I 2 1</t>
  </si>
  <si>
    <t>M_20180807.01B</t>
  </si>
  <si>
    <t>M_20180807.01E</t>
  </si>
  <si>
    <t>M TA 5 I 2 1</t>
  </si>
  <si>
    <t>M_20180820.01</t>
  </si>
  <si>
    <t>M TS 1 A 0 1</t>
  </si>
  <si>
    <t>M_20180828.01</t>
  </si>
  <si>
    <t>M TS 5 I 0 1</t>
  </si>
  <si>
    <t>M_20180829.01</t>
  </si>
  <si>
    <t>M NI 3 NI 3 3</t>
  </si>
  <si>
    <t>Sighting</t>
  </si>
  <si>
    <t>Date</t>
  </si>
  <si>
    <t>Time</t>
  </si>
  <si>
    <t>Behaviour</t>
  </si>
  <si>
    <t>Time i</t>
  </si>
  <si>
    <t>Time f</t>
  </si>
  <si>
    <t>Time stayed</t>
  </si>
  <si>
    <t>Behavior</t>
  </si>
  <si>
    <t>Group Compositon</t>
  </si>
  <si>
    <t>Boat Presence</t>
  </si>
  <si>
    <t>Beaufort</t>
  </si>
  <si>
    <t>FO</t>
  </si>
  <si>
    <t>R</t>
  </si>
  <si>
    <t>TF</t>
  </si>
  <si>
    <t>TA</t>
  </si>
  <si>
    <t>TS</t>
  </si>
  <si>
    <t>SO</t>
  </si>
  <si>
    <t>BR</t>
  </si>
  <si>
    <t xml:space="preserve">LB </t>
  </si>
  <si>
    <t>FL</t>
  </si>
  <si>
    <t>SP</t>
  </si>
  <si>
    <t>OT</t>
  </si>
  <si>
    <t>BS</t>
  </si>
  <si>
    <t>BF</t>
  </si>
  <si>
    <t>BB</t>
  </si>
  <si>
    <t>H</t>
  </si>
  <si>
    <t>NI</t>
  </si>
  <si>
    <t>Max</t>
  </si>
  <si>
    <t>Ad</t>
  </si>
  <si>
    <t>J</t>
  </si>
  <si>
    <t>C</t>
  </si>
  <si>
    <t>NB</t>
  </si>
  <si>
    <t>A</t>
  </si>
  <si>
    <t>I</t>
  </si>
  <si>
    <t>E</t>
  </si>
  <si>
    <t>Ni</t>
  </si>
  <si>
    <t>CC</t>
  </si>
  <si>
    <t>DT</t>
  </si>
  <si>
    <t>Group</t>
  </si>
  <si>
    <t>OT. Species</t>
  </si>
  <si>
    <t>NO</t>
  </si>
  <si>
    <t xml:space="preserve">Time </t>
  </si>
  <si>
    <t>07</t>
  </si>
  <si>
    <t>06</t>
  </si>
  <si>
    <t>2013</t>
  </si>
  <si>
    <t>22</t>
  </si>
  <si>
    <t>15</t>
  </si>
  <si>
    <t>04</t>
  </si>
  <si>
    <t>2014</t>
  </si>
  <si>
    <t>03</t>
  </si>
  <si>
    <t>23</t>
  </si>
  <si>
    <t>08</t>
  </si>
  <si>
    <t>2015</t>
  </si>
  <si>
    <t>18</t>
  </si>
  <si>
    <t>13</t>
  </si>
  <si>
    <t>2016</t>
  </si>
  <si>
    <t>19</t>
  </si>
  <si>
    <t>25</t>
  </si>
  <si>
    <t>12</t>
  </si>
  <si>
    <t>28</t>
  </si>
  <si>
    <t>01</t>
  </si>
  <si>
    <t>09</t>
  </si>
  <si>
    <t>05</t>
  </si>
  <si>
    <t>11</t>
  </si>
  <si>
    <t>2017</t>
  </si>
  <si>
    <t>24</t>
  </si>
  <si>
    <t>2018</t>
  </si>
  <si>
    <t>16</t>
  </si>
  <si>
    <t>17</t>
  </si>
  <si>
    <t>30</t>
  </si>
  <si>
    <t>20</t>
  </si>
  <si>
    <t>29</t>
  </si>
  <si>
    <t>Day</t>
  </si>
  <si>
    <t>Month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</si>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</sst>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21" fontId="0" fillId="0" borderId="0" xfId="0" applyNumberFormat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3" xfId="0" applyBorder="1"/>
    <xf numFmtId="14" fontId="0" fillId="0" borderId="3" xfId="0" applyNumberFormat="1" applyBorder="1"/>
    <xf numFmtId="21" fontId="0" fillId="0" borderId="3" xfId="0" applyNumberFormat="1" applyBorder="1"/>
    <xf numFmtId="0" fontId="0" fillId="0" borderId="7" xfId="0" applyBorder="1"/>
    <xf numFmtId="0" fontId="3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14" fontId="0" fillId="0" borderId="10" xfId="0" applyNumberFormat="1" applyBorder="1"/>
    <xf numFmtId="21" fontId="0" fillId="0" borderId="10" xfId="0" applyNumberFormat="1" applyBorder="1"/>
    <xf numFmtId="0" fontId="0" fillId="0" borderId="11" xfId="0" applyBorder="1"/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49" fontId="0" fillId="0" borderId="1" xfId="0" applyNumberFormat="1" applyBorder="1"/>
    <xf numFmtId="49" fontId="0" fillId="0" borderId="3" xfId="0" applyNumberFormat="1" applyBorder="1"/>
    <xf numFmtId="49" fontId="0" fillId="0" borderId="10" xfId="0" applyNumberFormat="1" applyBorder="1"/>
    <xf numFmtId="49" fontId="0" fillId="0" borderId="1" xfId="0" applyNumberForma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isantos/Desktop/Doutoramento/Primavera/Bm/Bm_Dat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isantos/Desktop/Doutoramento/Primavera/Bb/Bb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"/>
      <sheetName val="Análise"/>
      <sheetName val="Posições"/>
      <sheetName val="Data"/>
    </sheetNames>
    <sheetDataSet>
      <sheetData sheetId="0"/>
      <sheetData sheetId="1"/>
      <sheetData sheetId="2"/>
      <sheetData sheetId="3">
        <row r="2">
          <cell r="N2" t="str">
            <v>FO</v>
          </cell>
          <cell r="O2" t="str">
            <v>M</v>
          </cell>
          <cell r="P2" t="str">
            <v>R</v>
          </cell>
          <cell r="Q2" t="str">
            <v>TF</v>
          </cell>
          <cell r="R2" t="str">
            <v>TA</v>
          </cell>
          <cell r="S2" t="str">
            <v>TS</v>
          </cell>
          <cell r="T2" t="str">
            <v>SO</v>
          </cell>
          <cell r="U2" t="str">
            <v>BR</v>
          </cell>
          <cell r="V2" t="str">
            <v xml:space="preserve">LB </v>
          </cell>
          <cell r="W2" t="str">
            <v>FL</v>
          </cell>
          <cell r="X2" t="str">
            <v>SP</v>
          </cell>
          <cell r="Y2" t="str">
            <v>OT</v>
          </cell>
          <cell r="Z2" t="str">
            <v>BS</v>
          </cell>
          <cell r="AA2" t="str">
            <v>BF</v>
          </cell>
          <cell r="AB2" t="str">
            <v>BB</v>
          </cell>
          <cell r="AC2" t="str">
            <v>H</v>
          </cell>
          <cell r="AD2" t="str">
            <v>NI</v>
          </cell>
          <cell r="AE2" t="str">
            <v>Max</v>
          </cell>
          <cell r="AF2" t="str">
            <v>Ad</v>
          </cell>
          <cell r="AG2" t="str">
            <v>J</v>
          </cell>
          <cell r="AH2" t="str">
            <v>C</v>
          </cell>
          <cell r="AI2" t="str">
            <v>NB</v>
          </cell>
          <cell r="AJ2" t="str">
            <v>NI</v>
          </cell>
          <cell r="AK2" t="str">
            <v>A</v>
          </cell>
          <cell r="AL2" t="str">
            <v>I</v>
          </cell>
          <cell r="AM2" t="str">
            <v>E</v>
          </cell>
          <cell r="AN2" t="str">
            <v>Ni</v>
          </cell>
          <cell r="AO2">
            <v>0</v>
          </cell>
          <cell r="AP2">
            <v>1</v>
          </cell>
          <cell r="AQ2">
            <v>2</v>
          </cell>
          <cell r="AR2">
            <v>3</v>
          </cell>
          <cell r="AS2">
            <v>4</v>
          </cell>
          <cell r="AT2">
            <v>5</v>
          </cell>
          <cell r="AU2" t="str">
            <v>NI</v>
          </cell>
        </row>
        <row r="247">
          <cell r="E247" t="str">
            <v>March</v>
          </cell>
        </row>
        <row r="248">
          <cell r="E248" t="str">
            <v>April</v>
          </cell>
        </row>
        <row r="249">
          <cell r="E249" t="str">
            <v>May</v>
          </cell>
        </row>
        <row r="250">
          <cell r="E250" t="str">
            <v>June</v>
          </cell>
        </row>
        <row r="251">
          <cell r="E251" t="str">
            <v>July</v>
          </cell>
        </row>
        <row r="252">
          <cell r="E252" t="str">
            <v>August</v>
          </cell>
        </row>
        <row r="253">
          <cell r="E253" t="str">
            <v>September</v>
          </cell>
        </row>
        <row r="254">
          <cell r="E254" t="str">
            <v>October</v>
          </cell>
        </row>
        <row r="255">
          <cell r="E255" t="str">
            <v>November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"/>
      <sheetName val="Análise"/>
      <sheetName val="Posições"/>
      <sheetName val="Data"/>
    </sheetNames>
    <sheetDataSet>
      <sheetData sheetId="0"/>
      <sheetData sheetId="1">
        <row r="2">
          <cell r="N2" t="str">
            <v>FO</v>
          </cell>
        </row>
        <row r="118">
          <cell r="A118">
            <v>2012</v>
          </cell>
        </row>
        <row r="119">
          <cell r="A119">
            <v>2013</v>
          </cell>
        </row>
        <row r="120">
          <cell r="A120">
            <v>2014</v>
          </cell>
        </row>
        <row r="121">
          <cell r="A121">
            <v>2015</v>
          </cell>
        </row>
        <row r="122">
          <cell r="A122">
            <v>2016</v>
          </cell>
        </row>
        <row r="123">
          <cell r="A123">
            <v>2017</v>
          </cell>
        </row>
        <row r="124">
          <cell r="A124">
            <v>2018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2DFFE-C885-5B4B-985F-71094FE739AD}">
  <dimension ref="A2:G38"/>
  <sheetViews>
    <sheetView workbookViewId="0">
      <selection sqref="A1:XFD1"/>
    </sheetView>
  </sheetViews>
  <sheetFormatPr baseColWidth="10" defaultRowHeight="16" x14ac:dyDescent="0.2"/>
  <cols>
    <col min="6" max="6" width="15.5" bestFit="1" customWidth="1"/>
    <col min="7" max="7" width="16.33203125" bestFit="1" customWidth="1"/>
  </cols>
  <sheetData>
    <row r="2" spans="1:7" x14ac:dyDescent="0.2">
      <c r="A2" t="s">
        <v>72</v>
      </c>
      <c r="B2" t="s">
        <v>0</v>
      </c>
      <c r="C2" t="s">
        <v>1</v>
      </c>
      <c r="D2" t="s">
        <v>73</v>
      </c>
      <c r="E2" t="s">
        <v>74</v>
      </c>
      <c r="F2" t="s">
        <v>2</v>
      </c>
      <c r="G2" t="s">
        <v>75</v>
      </c>
    </row>
    <row r="3" spans="1:7" x14ac:dyDescent="0.2">
      <c r="A3">
        <v>1</v>
      </c>
      <c r="B3">
        <v>38.314079968258703</v>
      </c>
      <c r="C3">
        <f>-28.2488189823925</f>
        <v>-28.2488189823925</v>
      </c>
      <c r="D3" s="1">
        <v>41432</v>
      </c>
      <c r="E3" s="2">
        <v>0.46988425925925931</v>
      </c>
      <c r="F3" t="s">
        <v>3</v>
      </c>
      <c r="G3" t="s">
        <v>4</v>
      </c>
    </row>
    <row r="4" spans="1:7" x14ac:dyDescent="0.2">
      <c r="A4">
        <v>2</v>
      </c>
      <c r="B4">
        <v>38.317342037335003</v>
      </c>
      <c r="C4">
        <f>-28.254090026021</f>
        <v>-28.254090026021</v>
      </c>
      <c r="D4" s="1">
        <v>41432</v>
      </c>
      <c r="E4" s="2">
        <v>0.48327546296296298</v>
      </c>
      <c r="F4" t="s">
        <v>5</v>
      </c>
      <c r="G4" t="s">
        <v>6</v>
      </c>
    </row>
    <row r="5" spans="1:7" x14ac:dyDescent="0.2">
      <c r="A5">
        <v>3</v>
      </c>
      <c r="B5">
        <v>38.328988021239603</v>
      </c>
      <c r="C5">
        <f>-28.3816609997302</f>
        <v>-28.381660999730201</v>
      </c>
      <c r="D5" s="1">
        <v>41447</v>
      </c>
      <c r="E5" s="2">
        <v>0.5255671296296297</v>
      </c>
      <c r="F5" t="s">
        <v>7</v>
      </c>
      <c r="G5" t="s">
        <v>8</v>
      </c>
    </row>
    <row r="6" spans="1:7" x14ac:dyDescent="0.2">
      <c r="A6">
        <v>4</v>
      </c>
      <c r="B6">
        <v>38.302070964127701</v>
      </c>
      <c r="C6">
        <f>-28.1737919803708</f>
        <v>-28.173791980370801</v>
      </c>
      <c r="D6" s="1">
        <v>41744</v>
      </c>
      <c r="E6" s="2">
        <v>0.51761574074074079</v>
      </c>
      <c r="F6" t="s">
        <v>9</v>
      </c>
      <c r="G6" t="s">
        <v>10</v>
      </c>
    </row>
    <row r="7" spans="1:7" x14ac:dyDescent="0.2">
      <c r="A7">
        <v>5</v>
      </c>
      <c r="B7">
        <v>38.2885139901191</v>
      </c>
      <c r="C7">
        <f>-28.3996960055083</f>
        <v>-28.3996960055083</v>
      </c>
      <c r="D7" s="1">
        <v>41793</v>
      </c>
      <c r="E7" s="2">
        <v>0.48031249999999998</v>
      </c>
      <c r="F7" t="s">
        <v>11</v>
      </c>
      <c r="G7" t="s">
        <v>12</v>
      </c>
    </row>
    <row r="8" spans="1:7" x14ac:dyDescent="0.2">
      <c r="A8">
        <v>6</v>
      </c>
      <c r="B8">
        <v>38.268389040604198</v>
      </c>
      <c r="C8">
        <f>-28.2548220176249</f>
        <v>-28.2548220176249</v>
      </c>
      <c r="D8" s="1">
        <v>41813</v>
      </c>
      <c r="E8" s="2">
        <v>0.70090277777777776</v>
      </c>
      <c r="F8" t="s">
        <v>13</v>
      </c>
      <c r="G8" t="s">
        <v>4</v>
      </c>
    </row>
    <row r="9" spans="1:7" x14ac:dyDescent="0.2">
      <c r="A9">
        <v>7</v>
      </c>
      <c r="B9">
        <v>38.268426004797199</v>
      </c>
      <c r="C9">
        <f>-28.2647369708865</f>
        <v>-28.264736970886499</v>
      </c>
      <c r="D9" s="1">
        <v>41813</v>
      </c>
      <c r="E9" s="2">
        <v>0.70961805555555557</v>
      </c>
      <c r="F9" t="s">
        <v>14</v>
      </c>
      <c r="G9" t="s">
        <v>15</v>
      </c>
    </row>
    <row r="10" spans="1:7" x14ac:dyDescent="0.2">
      <c r="A10">
        <v>8</v>
      </c>
      <c r="B10">
        <v>38.336984021589103</v>
      </c>
      <c r="C10">
        <f>-28.2520989887416</f>
        <v>-28.252098988741601</v>
      </c>
      <c r="D10" s="1">
        <v>42222</v>
      </c>
      <c r="E10" s="2">
        <v>0.48425925925925922</v>
      </c>
      <c r="F10" t="s">
        <v>16</v>
      </c>
      <c r="G10" t="s">
        <v>17</v>
      </c>
    </row>
    <row r="11" spans="1:7" x14ac:dyDescent="0.2">
      <c r="A11">
        <v>9</v>
      </c>
      <c r="B11">
        <v>38.297922005876799</v>
      </c>
      <c r="C11">
        <f>-28.1614770367741</f>
        <v>-28.161477036774102</v>
      </c>
      <c r="D11" s="1">
        <v>42234</v>
      </c>
      <c r="E11" s="2">
        <v>0.50805555555555559</v>
      </c>
      <c r="F11" t="s">
        <v>18</v>
      </c>
      <c r="G11" t="s">
        <v>19</v>
      </c>
    </row>
    <row r="12" spans="1:7" x14ac:dyDescent="0.2">
      <c r="A12">
        <v>10</v>
      </c>
      <c r="B12">
        <v>38.353974977508102</v>
      </c>
      <c r="C12">
        <f>-28.2006480172276</f>
        <v>-28.2006480172276</v>
      </c>
      <c r="D12" s="1">
        <v>42564</v>
      </c>
      <c r="E12" s="2">
        <v>0.43842592592592594</v>
      </c>
      <c r="F12" t="s">
        <v>20</v>
      </c>
      <c r="G12" t="s">
        <v>21</v>
      </c>
    </row>
    <row r="13" spans="1:7" x14ac:dyDescent="0.2">
      <c r="A13">
        <v>11</v>
      </c>
      <c r="B13">
        <v>38.346873996779301</v>
      </c>
      <c r="C13">
        <f>-28.1215640064328</f>
        <v>-28.121564006432799</v>
      </c>
      <c r="D13" s="1">
        <v>42570</v>
      </c>
      <c r="E13" s="2">
        <v>0.49049768518518522</v>
      </c>
      <c r="F13" t="s">
        <v>22</v>
      </c>
      <c r="G13" t="s">
        <v>23</v>
      </c>
    </row>
    <row r="14" spans="1:7" x14ac:dyDescent="0.2">
      <c r="A14">
        <v>12</v>
      </c>
      <c r="B14">
        <v>38.380059041082802</v>
      </c>
      <c r="C14">
        <f>-28.1593000050634</f>
        <v>-28.1593000050634</v>
      </c>
      <c r="D14" s="1">
        <v>42573</v>
      </c>
      <c r="E14" s="2">
        <v>0.47578703703703701</v>
      </c>
      <c r="F14" t="s">
        <v>24</v>
      </c>
      <c r="G14" t="s">
        <v>25</v>
      </c>
    </row>
    <row r="15" spans="1:7" x14ac:dyDescent="0.2">
      <c r="A15">
        <v>13</v>
      </c>
      <c r="B15">
        <v>38.342472994700003</v>
      </c>
      <c r="C15">
        <f>-28.1824540067464</f>
        <v>-28.182454006746401</v>
      </c>
      <c r="D15" s="1">
        <v>42573</v>
      </c>
      <c r="E15" s="2">
        <v>0.50326388888888884</v>
      </c>
      <c r="F15" t="s">
        <v>26</v>
      </c>
      <c r="G15" t="s">
        <v>27</v>
      </c>
    </row>
    <row r="16" spans="1:7" x14ac:dyDescent="0.2">
      <c r="A16">
        <v>14</v>
      </c>
      <c r="B16">
        <v>38.333482984453397</v>
      </c>
      <c r="C16">
        <f>-28.2900919765233</f>
        <v>-28.2900919765233</v>
      </c>
      <c r="D16" s="1">
        <v>42576</v>
      </c>
      <c r="E16" s="2">
        <v>0.72337962962962965</v>
      </c>
      <c r="F16" t="s">
        <v>28</v>
      </c>
      <c r="G16" t="s">
        <v>29</v>
      </c>
    </row>
    <row r="17" spans="1:7" x14ac:dyDescent="0.2">
      <c r="A17">
        <v>15</v>
      </c>
      <c r="B17">
        <v>38.350524986162696</v>
      </c>
      <c r="C17">
        <f>-28.3146080374717</f>
        <v>-28.3146080374717</v>
      </c>
      <c r="D17" s="1">
        <v>42594</v>
      </c>
      <c r="E17" s="2">
        <v>0.48790509259259257</v>
      </c>
      <c r="F17" t="s">
        <v>30</v>
      </c>
      <c r="G17" t="s">
        <v>31</v>
      </c>
    </row>
    <row r="18" spans="1:7" x14ac:dyDescent="0.2">
      <c r="A18">
        <v>16</v>
      </c>
      <c r="B18">
        <v>38.232454983517499</v>
      </c>
      <c r="C18">
        <f>-28.2523999828845</f>
        <v>-28.252399982884501</v>
      </c>
      <c r="D18" s="1">
        <v>42605</v>
      </c>
      <c r="E18" s="2">
        <v>0.67166666666666675</v>
      </c>
      <c r="F18" t="s">
        <v>32</v>
      </c>
      <c r="G18" t="s">
        <v>33</v>
      </c>
    </row>
    <row r="19" spans="1:7" x14ac:dyDescent="0.2">
      <c r="A19">
        <v>17</v>
      </c>
      <c r="B19">
        <v>38.340328987687798</v>
      </c>
      <c r="C19">
        <f>-28.2013710401952</f>
        <v>-28.201371040195198</v>
      </c>
      <c r="D19" s="1">
        <v>42610</v>
      </c>
      <c r="E19" s="2">
        <v>0.71302083333333333</v>
      </c>
      <c r="F19" t="s">
        <v>34</v>
      </c>
      <c r="G19" t="s">
        <v>35</v>
      </c>
    </row>
    <row r="20" spans="1:7" x14ac:dyDescent="0.2">
      <c r="A20">
        <v>18</v>
      </c>
      <c r="B20">
        <v>38.379613040015101</v>
      </c>
      <c r="C20">
        <f>-28.1398020219057</f>
        <v>-28.139802021905702</v>
      </c>
      <c r="D20" s="1">
        <v>42614</v>
      </c>
      <c r="E20" s="2">
        <v>0.45512731481481478</v>
      </c>
      <c r="F20" t="s">
        <v>36</v>
      </c>
      <c r="G20" t="s">
        <v>37</v>
      </c>
    </row>
    <row r="21" spans="1:7" x14ac:dyDescent="0.2">
      <c r="A21">
        <v>19</v>
      </c>
      <c r="B21">
        <v>38.285612007603</v>
      </c>
      <c r="C21">
        <f>-27.9412520024925</f>
        <v>-27.941252002492501</v>
      </c>
      <c r="D21" s="1">
        <v>42614</v>
      </c>
      <c r="E21" s="2">
        <v>0.62403935185185189</v>
      </c>
      <c r="F21" t="s">
        <v>38</v>
      </c>
      <c r="G21" t="s">
        <v>39</v>
      </c>
    </row>
    <row r="22" spans="1:7" x14ac:dyDescent="0.2">
      <c r="A22">
        <v>20</v>
      </c>
      <c r="B22">
        <v>38.3432879671454</v>
      </c>
      <c r="C22">
        <f>-28.3457430358976</f>
        <v>-28.345743035897598</v>
      </c>
      <c r="D22" s="1">
        <v>42635</v>
      </c>
      <c r="E22" s="2">
        <v>0.4987847222222222</v>
      </c>
      <c r="F22" t="s">
        <v>40</v>
      </c>
      <c r="G22" t="s">
        <v>41</v>
      </c>
    </row>
    <row r="23" spans="1:7" x14ac:dyDescent="0.2">
      <c r="A23">
        <v>21</v>
      </c>
      <c r="B23">
        <v>38.3850659709423</v>
      </c>
      <c r="C23">
        <f>-28.400763021782</f>
        <v>-28.400763021782002</v>
      </c>
      <c r="D23" s="1">
        <v>42679</v>
      </c>
      <c r="E23" s="2">
        <v>0.52249999999999996</v>
      </c>
      <c r="F23" t="s">
        <v>42</v>
      </c>
      <c r="G23" t="s">
        <v>43</v>
      </c>
    </row>
    <row r="24" spans="1:7" x14ac:dyDescent="0.2">
      <c r="A24">
        <v>22</v>
      </c>
      <c r="B24">
        <v>38.282511960714999</v>
      </c>
      <c r="C24">
        <f>-28.4131959825754</f>
        <v>-28.413195982575399</v>
      </c>
      <c r="D24" s="1">
        <v>42917</v>
      </c>
      <c r="E24" s="2">
        <v>0.63013888888888892</v>
      </c>
      <c r="F24" t="s">
        <v>44</v>
      </c>
      <c r="G24" t="s">
        <v>45</v>
      </c>
    </row>
    <row r="25" spans="1:7" x14ac:dyDescent="0.2">
      <c r="A25">
        <v>23</v>
      </c>
      <c r="B25">
        <v>38.386452002450802</v>
      </c>
      <c r="C25">
        <f>-28.1402200274169</f>
        <v>-28.140220027416898</v>
      </c>
      <c r="D25" s="1">
        <v>42939</v>
      </c>
      <c r="E25" s="2">
        <v>0.47127314814814819</v>
      </c>
      <c r="F25" t="s">
        <v>46</v>
      </c>
      <c r="G25" t="s">
        <v>47</v>
      </c>
    </row>
    <row r="26" spans="1:7" x14ac:dyDescent="0.2">
      <c r="A26">
        <v>24</v>
      </c>
      <c r="B26">
        <v>38.382579982280703</v>
      </c>
      <c r="C26">
        <f>-28.3554490283131</f>
        <v>-28.3554490283131</v>
      </c>
      <c r="D26" s="1">
        <v>42970</v>
      </c>
      <c r="E26" s="2">
        <v>0.4380324074074074</v>
      </c>
      <c r="F26" t="s">
        <v>48</v>
      </c>
      <c r="G26" t="s">
        <v>49</v>
      </c>
    </row>
    <row r="27" spans="1:7" x14ac:dyDescent="0.2">
      <c r="A27">
        <v>25</v>
      </c>
      <c r="B27">
        <v>38.372796960175002</v>
      </c>
      <c r="C27">
        <f>-28.3435530122369</f>
        <v>-28.343553012236899</v>
      </c>
      <c r="D27" s="1">
        <v>42971</v>
      </c>
      <c r="E27" s="2">
        <v>0.4332523148148148</v>
      </c>
      <c r="F27" t="s">
        <v>50</v>
      </c>
      <c r="G27" t="s">
        <v>51</v>
      </c>
    </row>
    <row r="28" spans="1:7" x14ac:dyDescent="0.2">
      <c r="A28">
        <v>26</v>
      </c>
      <c r="B28">
        <v>38.3765160106122</v>
      </c>
      <c r="C28">
        <f>-28.3261240180581</f>
        <v>-28.326124018058099</v>
      </c>
      <c r="D28" s="1">
        <v>42972</v>
      </c>
      <c r="E28" s="2">
        <v>0.38141203703703702</v>
      </c>
      <c r="F28" t="s">
        <v>52</v>
      </c>
      <c r="G28" t="s">
        <v>53</v>
      </c>
    </row>
    <row r="29" spans="1:7" x14ac:dyDescent="0.2">
      <c r="A29">
        <v>27</v>
      </c>
      <c r="B29">
        <v>38.287382014095698</v>
      </c>
      <c r="C29">
        <f>-28.3067640010267</f>
        <v>-28.3067640010267</v>
      </c>
      <c r="D29" s="1">
        <v>43290</v>
      </c>
      <c r="E29" s="2">
        <v>0.60116898148148146</v>
      </c>
      <c r="F29" t="s">
        <v>54</v>
      </c>
      <c r="G29" t="s">
        <v>55</v>
      </c>
    </row>
    <row r="30" spans="1:7" x14ac:dyDescent="0.2">
      <c r="A30">
        <v>28</v>
      </c>
      <c r="B30">
        <v>38.369241021573501</v>
      </c>
      <c r="C30">
        <f>-28.3351670019328</f>
        <v>-28.335167001932799</v>
      </c>
      <c r="D30" s="1">
        <v>43297</v>
      </c>
      <c r="E30" s="2">
        <v>0.59865740740740747</v>
      </c>
      <c r="F30" t="s">
        <v>56</v>
      </c>
      <c r="G30" t="s">
        <v>4</v>
      </c>
    </row>
    <row r="31" spans="1:7" x14ac:dyDescent="0.2">
      <c r="A31">
        <v>29</v>
      </c>
      <c r="B31">
        <v>38.3664070162922</v>
      </c>
      <c r="C31">
        <f>-28.3327639941126</f>
        <v>-28.3327639941126</v>
      </c>
      <c r="D31" s="1">
        <v>43297</v>
      </c>
      <c r="E31" s="2">
        <v>0.60113425925925923</v>
      </c>
      <c r="F31" t="s">
        <v>57</v>
      </c>
      <c r="G31" t="s">
        <v>58</v>
      </c>
    </row>
    <row r="32" spans="1:7" x14ac:dyDescent="0.2">
      <c r="A32">
        <v>30</v>
      </c>
      <c r="B32">
        <v>38.400867031887103</v>
      </c>
      <c r="C32">
        <f>-28.4740050137043</f>
        <v>-28.4740050137043</v>
      </c>
      <c r="D32" s="1">
        <v>43298</v>
      </c>
      <c r="E32" s="2">
        <v>0.64777777777777779</v>
      </c>
      <c r="F32" t="s">
        <v>59</v>
      </c>
      <c r="G32" t="s">
        <v>60</v>
      </c>
    </row>
    <row r="33" spans="1:7" x14ac:dyDescent="0.2">
      <c r="A33">
        <v>31</v>
      </c>
      <c r="B33">
        <v>38.380188960581997</v>
      </c>
      <c r="C33">
        <f>-28.3450309932231</f>
        <v>-28.345030993223101</v>
      </c>
      <c r="D33" s="1">
        <v>43311</v>
      </c>
      <c r="E33" s="2">
        <v>0.39103009259259264</v>
      </c>
      <c r="F33" t="s">
        <v>61</v>
      </c>
      <c r="G33" t="s">
        <v>62</v>
      </c>
    </row>
    <row r="34" spans="1:7" x14ac:dyDescent="0.2">
      <c r="A34">
        <v>32</v>
      </c>
      <c r="B34">
        <v>38.332615038379998</v>
      </c>
      <c r="C34">
        <f>-28.0324350390583</f>
        <v>-28.032435039058299</v>
      </c>
      <c r="D34" s="1">
        <v>43319</v>
      </c>
      <c r="E34" s="2">
        <v>0.46476851851851847</v>
      </c>
      <c r="F34" t="s">
        <v>63</v>
      </c>
      <c r="G34" t="s">
        <v>4</v>
      </c>
    </row>
    <row r="35" spans="1:7" x14ac:dyDescent="0.2">
      <c r="A35">
        <v>33</v>
      </c>
      <c r="B35">
        <v>38.329949006438198</v>
      </c>
      <c r="C35">
        <f>-28.0340049695223</f>
        <v>-28.0340049695223</v>
      </c>
      <c r="D35" s="1">
        <v>43319</v>
      </c>
      <c r="E35" s="2">
        <v>0.46702546296296293</v>
      </c>
      <c r="F35" t="s">
        <v>64</v>
      </c>
      <c r="G35" t="s">
        <v>65</v>
      </c>
    </row>
    <row r="36" spans="1:7" x14ac:dyDescent="0.2">
      <c r="A36">
        <v>34</v>
      </c>
      <c r="B36">
        <v>38.374576019123097</v>
      </c>
      <c r="C36">
        <f>-28.3584339916706</f>
        <v>-28.358433991670601</v>
      </c>
      <c r="D36" s="1">
        <v>43332</v>
      </c>
      <c r="E36" s="2">
        <v>0.6199189814814815</v>
      </c>
      <c r="F36" t="s">
        <v>66</v>
      </c>
      <c r="G36" t="s">
        <v>67</v>
      </c>
    </row>
    <row r="37" spans="1:7" x14ac:dyDescent="0.2">
      <c r="A37">
        <v>35</v>
      </c>
      <c r="B37">
        <v>38.383507020771503</v>
      </c>
      <c r="C37">
        <f>-28.2909070327878</f>
        <v>-28.2909070327878</v>
      </c>
      <c r="D37" s="1">
        <v>43340</v>
      </c>
      <c r="E37" s="2">
        <v>0.40634259259259259</v>
      </c>
      <c r="F37" t="s">
        <v>68</v>
      </c>
      <c r="G37" t="s">
        <v>69</v>
      </c>
    </row>
    <row r="38" spans="1:7" x14ac:dyDescent="0.2">
      <c r="A38">
        <v>36</v>
      </c>
      <c r="B38">
        <v>38.366794008761602</v>
      </c>
      <c r="C38">
        <f>-28.1730759982019</f>
        <v>-28.173075998201899</v>
      </c>
      <c r="D38" s="1">
        <v>43341</v>
      </c>
      <c r="E38" s="2">
        <v>0.48491898148148144</v>
      </c>
      <c r="F38" t="s">
        <v>70</v>
      </c>
      <c r="G38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33D97-CADC-FA49-87C6-11F02223BA68}">
  <dimension ref="A1:AW34"/>
  <sheetViews>
    <sheetView topLeftCell="AG1" zoomScale="150" workbookViewId="0">
      <pane ySplit="2" topLeftCell="A18" activePane="bottomLeft" state="frozen"/>
      <selection activeCell="J1" sqref="J1"/>
      <selection pane="bottomLeft" activeCell="B35" sqref="B35"/>
    </sheetView>
  </sheetViews>
  <sheetFormatPr baseColWidth="10" defaultRowHeight="16" x14ac:dyDescent="0.2"/>
  <cols>
    <col min="8" max="8" width="15.5" bestFit="1" customWidth="1"/>
    <col min="9" max="10" width="16.33203125" bestFit="1" customWidth="1"/>
    <col min="11" max="11" width="4" bestFit="1" customWidth="1"/>
    <col min="12" max="12" width="3.33203125" bestFit="1" customWidth="1"/>
    <col min="13" max="13" width="3.1640625" bestFit="1" customWidth="1"/>
    <col min="14" max="14" width="4.33203125" bestFit="1" customWidth="1"/>
    <col min="15" max="15" width="4.6640625" bestFit="1" customWidth="1"/>
    <col min="16" max="16" width="4.5" bestFit="1" customWidth="1"/>
    <col min="17" max="18" width="4.83203125" bestFit="1" customWidth="1"/>
    <col min="19" max="19" width="5.33203125" bestFit="1" customWidth="1"/>
    <col min="20" max="20" width="4.33203125" bestFit="1" customWidth="1"/>
    <col min="21" max="24" width="4.6640625" bestFit="1" customWidth="1"/>
    <col min="25" max="25" width="4.83203125" bestFit="1" customWidth="1"/>
    <col min="26" max="26" width="3.1640625" bestFit="1" customWidth="1"/>
    <col min="27" max="27" width="3.83203125" bestFit="1" customWidth="1"/>
    <col min="28" max="28" width="6" bestFit="1" customWidth="1"/>
    <col min="29" max="31" width="4.6640625" bestFit="1" customWidth="1"/>
    <col min="32" max="33" width="7.5" bestFit="1" customWidth="1"/>
    <col min="34" max="34" width="4.6640625" bestFit="1" customWidth="1"/>
    <col min="35" max="35" width="5.83203125" bestFit="1" customWidth="1"/>
    <col min="36" max="38" width="4.6640625" bestFit="1" customWidth="1"/>
    <col min="39" max="41" width="5.83203125" bestFit="1" customWidth="1"/>
    <col min="42" max="44" width="4.6640625" bestFit="1" customWidth="1"/>
    <col min="45" max="45" width="4.83203125" bestFit="1" customWidth="1"/>
    <col min="46" max="46" width="4.6640625" bestFit="1" customWidth="1"/>
    <col min="47" max="49" width="11" bestFit="1" customWidth="1"/>
  </cols>
  <sheetData>
    <row r="1" spans="1:49" ht="19" thickBot="1" x14ac:dyDescent="0.25">
      <c r="K1" s="28" t="s">
        <v>79</v>
      </c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 t="s">
        <v>80</v>
      </c>
      <c r="AC1" s="28"/>
      <c r="AD1" s="28"/>
      <c r="AE1" s="28"/>
      <c r="AF1" s="28"/>
      <c r="AG1" s="28"/>
      <c r="AH1" s="28" t="s">
        <v>81</v>
      </c>
      <c r="AI1" s="28"/>
      <c r="AJ1" s="28"/>
      <c r="AK1" s="28"/>
      <c r="AL1" s="28" t="s">
        <v>82</v>
      </c>
      <c r="AM1" s="28"/>
      <c r="AN1" s="28"/>
      <c r="AO1" s="28"/>
      <c r="AP1" s="28"/>
      <c r="AQ1" s="28"/>
      <c r="AR1" s="28"/>
      <c r="AS1" s="7"/>
      <c r="AT1" s="7"/>
      <c r="AU1" s="7"/>
      <c r="AV1" s="7"/>
      <c r="AW1" s="8"/>
    </row>
    <row r="2" spans="1:49" ht="18" x14ac:dyDescent="0.2">
      <c r="A2" s="12" t="s">
        <v>72</v>
      </c>
      <c r="B2" s="4" t="s">
        <v>0</v>
      </c>
      <c r="C2" s="4" t="s">
        <v>1</v>
      </c>
      <c r="D2" s="4" t="s">
        <v>73</v>
      </c>
      <c r="E2" s="4" t="s">
        <v>76</v>
      </c>
      <c r="F2" s="4" t="s">
        <v>77</v>
      </c>
      <c r="G2" s="4" t="s">
        <v>78</v>
      </c>
      <c r="H2" s="4" t="s">
        <v>2</v>
      </c>
      <c r="I2" s="4" t="s">
        <v>75</v>
      </c>
      <c r="J2" s="4"/>
      <c r="K2" s="13" t="s">
        <v>83</v>
      </c>
      <c r="L2" s="3" t="s">
        <v>4</v>
      </c>
      <c r="M2" s="3" t="s">
        <v>84</v>
      </c>
      <c r="N2" s="3" t="s">
        <v>85</v>
      </c>
      <c r="O2" s="3" t="s">
        <v>86</v>
      </c>
      <c r="P2" s="3" t="s">
        <v>87</v>
      </c>
      <c r="Q2" s="3" t="s">
        <v>88</v>
      </c>
      <c r="R2" s="3" t="s">
        <v>89</v>
      </c>
      <c r="S2" s="3" t="s">
        <v>90</v>
      </c>
      <c r="T2" s="3" t="s">
        <v>91</v>
      </c>
      <c r="U2" s="3" t="s">
        <v>92</v>
      </c>
      <c r="V2" s="3" t="s">
        <v>93</v>
      </c>
      <c r="W2" s="3" t="s">
        <v>94</v>
      </c>
      <c r="X2" s="3" t="s">
        <v>95</v>
      </c>
      <c r="Y2" s="3" t="s">
        <v>96</v>
      </c>
      <c r="Z2" s="3" t="s">
        <v>97</v>
      </c>
      <c r="AA2" s="3" t="s">
        <v>98</v>
      </c>
      <c r="AB2" s="3" t="s">
        <v>99</v>
      </c>
      <c r="AC2" s="3" t="s">
        <v>100</v>
      </c>
      <c r="AD2" s="3" t="s">
        <v>101</v>
      </c>
      <c r="AE2" s="3" t="s">
        <v>102</v>
      </c>
      <c r="AF2" s="3" t="s">
        <v>103</v>
      </c>
      <c r="AG2" s="3" t="s">
        <v>98</v>
      </c>
      <c r="AH2" s="3" t="s">
        <v>104</v>
      </c>
      <c r="AI2" s="14" t="s">
        <v>105</v>
      </c>
      <c r="AJ2" s="3" t="s">
        <v>106</v>
      </c>
      <c r="AK2" s="3" t="s">
        <v>107</v>
      </c>
      <c r="AL2" s="3">
        <v>0</v>
      </c>
      <c r="AM2" s="3">
        <v>1</v>
      </c>
      <c r="AN2" s="3">
        <v>2</v>
      </c>
      <c r="AO2" s="3">
        <v>3</v>
      </c>
      <c r="AP2" s="3">
        <v>4</v>
      </c>
      <c r="AQ2" s="3">
        <v>5</v>
      </c>
      <c r="AR2" s="3" t="s">
        <v>98</v>
      </c>
      <c r="AS2" s="3" t="s">
        <v>108</v>
      </c>
      <c r="AT2" s="3" t="s">
        <v>109</v>
      </c>
      <c r="AU2" s="3" t="s">
        <v>110</v>
      </c>
      <c r="AV2" s="3" t="s">
        <v>111</v>
      </c>
      <c r="AW2" s="5"/>
    </row>
    <row r="3" spans="1:49" x14ac:dyDescent="0.2">
      <c r="A3" s="15">
        <v>1</v>
      </c>
      <c r="B3" s="9">
        <v>38.314079968258703</v>
      </c>
      <c r="C3" s="9">
        <f>-28.2488189823925</f>
        <v>-28.2488189823925</v>
      </c>
      <c r="D3" s="10">
        <v>41432</v>
      </c>
      <c r="E3" s="11">
        <v>0.46988425925925931</v>
      </c>
      <c r="F3" s="11">
        <v>0.48327546296296298</v>
      </c>
      <c r="G3" s="11">
        <f>F3-E3</f>
        <v>1.3391203703703669E-2</v>
      </c>
      <c r="H3" s="9" t="s">
        <v>3</v>
      </c>
      <c r="I3" s="9" t="s">
        <v>4</v>
      </c>
      <c r="J3" s="9" t="s">
        <v>6</v>
      </c>
      <c r="K3" s="9"/>
      <c r="L3" s="9"/>
      <c r="M3" s="9"/>
      <c r="N3" s="9"/>
      <c r="O3" s="9"/>
      <c r="P3" s="9">
        <v>1</v>
      </c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>
        <v>4</v>
      </c>
      <c r="AC3" s="9">
        <v>4</v>
      </c>
      <c r="AD3" s="9"/>
      <c r="AE3" s="9"/>
      <c r="AF3" s="9"/>
      <c r="AG3" s="9"/>
      <c r="AH3" s="9"/>
      <c r="AI3" s="9"/>
      <c r="AJ3" s="9"/>
      <c r="AK3" s="9">
        <v>1</v>
      </c>
      <c r="AL3" s="9"/>
      <c r="AM3" s="9"/>
      <c r="AN3" s="9"/>
      <c r="AO3" s="9"/>
      <c r="AP3" s="9"/>
      <c r="AQ3" s="9"/>
      <c r="AR3" s="9">
        <v>1</v>
      </c>
      <c r="AS3" s="9" t="s">
        <v>98</v>
      </c>
      <c r="AT3" s="9"/>
      <c r="AU3" s="9"/>
      <c r="AV3" s="9" t="s">
        <v>112</v>
      </c>
      <c r="AW3" s="6"/>
    </row>
    <row r="4" spans="1:49" x14ac:dyDescent="0.2">
      <c r="A4" s="15">
        <v>2</v>
      </c>
      <c r="B4" s="9">
        <v>38.328988021239603</v>
      </c>
      <c r="C4" s="9">
        <f>-28.3816609997302</f>
        <v>-28.381660999730201</v>
      </c>
      <c r="D4" s="10">
        <v>41447</v>
      </c>
      <c r="E4" s="11">
        <v>0.5255671296296297</v>
      </c>
      <c r="F4" s="11"/>
      <c r="G4" s="11">
        <v>6.9444444444444447E-4</v>
      </c>
      <c r="H4" s="9" t="s">
        <v>7</v>
      </c>
      <c r="I4" s="9" t="s">
        <v>8</v>
      </c>
      <c r="J4" s="9" t="s">
        <v>8</v>
      </c>
      <c r="K4" s="9"/>
      <c r="L4" s="9"/>
      <c r="M4" s="9"/>
      <c r="N4" s="9"/>
      <c r="O4" s="9"/>
      <c r="P4" s="9">
        <v>1</v>
      </c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>
        <v>2</v>
      </c>
      <c r="AC4" s="9">
        <v>2</v>
      </c>
      <c r="AD4" s="9"/>
      <c r="AE4" s="9"/>
      <c r="AF4" s="9"/>
      <c r="AG4" s="9"/>
      <c r="AH4" s="9"/>
      <c r="AI4" s="9"/>
      <c r="AJ4" s="9"/>
      <c r="AK4" s="9">
        <v>1</v>
      </c>
      <c r="AL4" s="9"/>
      <c r="AM4" s="9"/>
      <c r="AN4" s="9"/>
      <c r="AO4" s="9"/>
      <c r="AP4" s="9"/>
      <c r="AQ4" s="9"/>
      <c r="AR4" s="9">
        <v>1</v>
      </c>
      <c r="AS4" s="9" t="s">
        <v>98</v>
      </c>
      <c r="AT4" s="9"/>
      <c r="AU4" s="9"/>
      <c r="AV4" s="9" t="s">
        <v>112</v>
      </c>
      <c r="AW4" s="6"/>
    </row>
    <row r="5" spans="1:49" x14ac:dyDescent="0.2">
      <c r="A5" s="15">
        <v>3</v>
      </c>
      <c r="B5" s="9">
        <v>38.302070964127701</v>
      </c>
      <c r="C5" s="9">
        <f>-28.1737919803708</f>
        <v>-28.173791980370801</v>
      </c>
      <c r="D5" s="10">
        <v>41744</v>
      </c>
      <c r="E5" s="11">
        <v>0.51761574074074079</v>
      </c>
      <c r="F5" s="11"/>
      <c r="G5" s="11">
        <v>6.9444444444444447E-4</v>
      </c>
      <c r="H5" s="9" t="s">
        <v>9</v>
      </c>
      <c r="I5" s="9" t="s">
        <v>10</v>
      </c>
      <c r="J5" s="9" t="s">
        <v>10</v>
      </c>
      <c r="K5" s="9">
        <v>1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>
        <v>2</v>
      </c>
      <c r="AC5" s="9">
        <v>2</v>
      </c>
      <c r="AD5" s="9"/>
      <c r="AE5" s="9"/>
      <c r="AF5" s="9"/>
      <c r="AG5" s="9"/>
      <c r="AH5" s="9"/>
      <c r="AI5" s="9"/>
      <c r="AJ5" s="9"/>
      <c r="AK5" s="9">
        <v>1</v>
      </c>
      <c r="AL5" s="9"/>
      <c r="AM5" s="9"/>
      <c r="AN5" s="9"/>
      <c r="AO5" s="9"/>
      <c r="AP5" s="9"/>
      <c r="AQ5" s="9"/>
      <c r="AR5" s="9">
        <v>1</v>
      </c>
      <c r="AS5" s="9" t="s">
        <v>98</v>
      </c>
      <c r="AT5" s="9"/>
      <c r="AU5" s="9"/>
      <c r="AV5" s="9" t="s">
        <v>112</v>
      </c>
      <c r="AW5" s="6"/>
    </row>
    <row r="6" spans="1:49" x14ac:dyDescent="0.2">
      <c r="A6" s="15">
        <v>4</v>
      </c>
      <c r="B6" s="9">
        <v>38.2885139901191</v>
      </c>
      <c r="C6" s="9">
        <f>-28.3996960055083</f>
        <v>-28.3996960055083</v>
      </c>
      <c r="D6" s="10">
        <v>41793</v>
      </c>
      <c r="E6" s="11">
        <v>0.48031249999999998</v>
      </c>
      <c r="F6" s="11"/>
      <c r="G6" s="11">
        <v>6.9444444444444447E-4</v>
      </c>
      <c r="H6" s="9" t="s">
        <v>11</v>
      </c>
      <c r="I6" s="9" t="s">
        <v>12</v>
      </c>
      <c r="J6" s="9" t="s">
        <v>12</v>
      </c>
      <c r="K6" s="9"/>
      <c r="L6" s="9"/>
      <c r="M6" s="9"/>
      <c r="N6" s="9"/>
      <c r="O6" s="9"/>
      <c r="P6" s="9">
        <v>1</v>
      </c>
      <c r="Q6" s="9"/>
      <c r="R6" s="9"/>
      <c r="S6" s="9"/>
      <c r="T6" s="9"/>
      <c r="U6" s="9"/>
      <c r="V6" s="9"/>
      <c r="W6" s="9"/>
      <c r="X6" s="9"/>
      <c r="Y6" s="9"/>
      <c r="Z6" s="9">
        <v>1</v>
      </c>
      <c r="AA6" s="9"/>
      <c r="AB6" s="9">
        <v>1</v>
      </c>
      <c r="AC6" s="9">
        <v>1</v>
      </c>
      <c r="AD6" s="9"/>
      <c r="AE6" s="9"/>
      <c r="AF6" s="9"/>
      <c r="AG6" s="9"/>
      <c r="AH6" s="9"/>
      <c r="AI6" s="9">
        <v>1</v>
      </c>
      <c r="AJ6" s="9"/>
      <c r="AK6" s="9"/>
      <c r="AL6" s="9">
        <v>1</v>
      </c>
      <c r="AM6" s="9"/>
      <c r="AN6" s="9"/>
      <c r="AO6" s="9"/>
      <c r="AP6" s="9"/>
      <c r="AQ6" s="9"/>
      <c r="AR6" s="9"/>
      <c r="AS6" s="9" t="s">
        <v>98</v>
      </c>
      <c r="AT6" s="9"/>
      <c r="AU6" s="9"/>
      <c r="AV6" s="9" t="s">
        <v>112</v>
      </c>
      <c r="AW6" s="6"/>
    </row>
    <row r="7" spans="1:49" x14ac:dyDescent="0.2">
      <c r="A7" s="15">
        <v>5</v>
      </c>
      <c r="B7" s="9">
        <v>38.268389040604198</v>
      </c>
      <c r="C7" s="9">
        <f>-28.2548220176249</f>
        <v>-28.2548220176249</v>
      </c>
      <c r="D7" s="10">
        <v>41813</v>
      </c>
      <c r="E7" s="11">
        <v>0.70090277777777776</v>
      </c>
      <c r="F7" s="11">
        <v>0.70961805555555557</v>
      </c>
      <c r="G7" s="11">
        <f t="shared" ref="G7:G31" si="0">F7-E7</f>
        <v>8.7152777777778079E-3</v>
      </c>
      <c r="H7" s="9" t="s">
        <v>13</v>
      </c>
      <c r="I7" s="9" t="s">
        <v>4</v>
      </c>
      <c r="J7" s="9" t="s">
        <v>15</v>
      </c>
      <c r="K7" s="9"/>
      <c r="L7" s="9"/>
      <c r="M7" s="9"/>
      <c r="N7" s="9">
        <v>1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>
        <v>1</v>
      </c>
      <c r="AC7" s="9">
        <v>1</v>
      </c>
      <c r="AD7" s="9"/>
      <c r="AE7" s="9"/>
      <c r="AF7" s="9"/>
      <c r="AG7" s="9"/>
      <c r="AH7" s="9"/>
      <c r="AI7" s="9"/>
      <c r="AJ7" s="9">
        <v>1</v>
      </c>
      <c r="AK7" s="9"/>
      <c r="AL7" s="9"/>
      <c r="AM7" s="9">
        <v>1</v>
      </c>
      <c r="AN7" s="9"/>
      <c r="AO7" s="9"/>
      <c r="AP7" s="9"/>
      <c r="AQ7" s="9"/>
      <c r="AR7" s="9"/>
      <c r="AS7" s="9" t="s">
        <v>98</v>
      </c>
      <c r="AT7" s="9"/>
      <c r="AU7" s="9"/>
      <c r="AV7" s="9" t="s">
        <v>112</v>
      </c>
      <c r="AW7" s="6"/>
    </row>
    <row r="8" spans="1:49" x14ac:dyDescent="0.2">
      <c r="A8" s="15">
        <v>6</v>
      </c>
      <c r="B8" s="9">
        <v>38.336984021589103</v>
      </c>
      <c r="C8" s="9">
        <f>-28.2520989887416</f>
        <v>-28.252098988741601</v>
      </c>
      <c r="D8" s="10">
        <v>42222</v>
      </c>
      <c r="E8" s="11">
        <v>0.48425925925925922</v>
      </c>
      <c r="F8" s="11"/>
      <c r="G8" s="11">
        <v>6.9444444444444447E-4</v>
      </c>
      <c r="H8" s="9" t="s">
        <v>16</v>
      </c>
      <c r="I8" s="9" t="s">
        <v>17</v>
      </c>
      <c r="J8" s="9" t="s">
        <v>17</v>
      </c>
      <c r="K8" s="9"/>
      <c r="L8" s="9"/>
      <c r="M8" s="9"/>
      <c r="N8" s="9">
        <v>1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>
        <v>4</v>
      </c>
      <c r="AC8" s="9">
        <v>4</v>
      </c>
      <c r="AD8" s="9"/>
      <c r="AE8" s="9"/>
      <c r="AF8" s="9"/>
      <c r="AG8" s="9"/>
      <c r="AH8" s="9"/>
      <c r="AI8" s="9"/>
      <c r="AJ8" s="9">
        <v>1</v>
      </c>
      <c r="AK8" s="9"/>
      <c r="AL8" s="9"/>
      <c r="AM8" s="9"/>
      <c r="AN8" s="9"/>
      <c r="AO8" s="9">
        <v>1</v>
      </c>
      <c r="AP8" s="9"/>
      <c r="AQ8" s="9"/>
      <c r="AR8" s="9"/>
      <c r="AS8" s="9" t="s">
        <v>98</v>
      </c>
      <c r="AT8" s="9"/>
      <c r="AU8" s="9"/>
      <c r="AV8" s="9" t="s">
        <v>112</v>
      </c>
      <c r="AW8" s="6"/>
    </row>
    <row r="9" spans="1:49" x14ac:dyDescent="0.2">
      <c r="A9" s="15">
        <v>7</v>
      </c>
      <c r="B9" s="9">
        <v>38.297922005876799</v>
      </c>
      <c r="C9" s="9">
        <f>-28.1614770367741</f>
        <v>-28.161477036774102</v>
      </c>
      <c r="D9" s="10">
        <v>42234</v>
      </c>
      <c r="E9" s="11">
        <v>0.50805555555555559</v>
      </c>
      <c r="F9" s="11"/>
      <c r="G9" s="11">
        <v>6.9444444444444447E-4</v>
      </c>
      <c r="H9" s="9" t="s">
        <v>18</v>
      </c>
      <c r="I9" s="9" t="s">
        <v>19</v>
      </c>
      <c r="J9" s="9" t="s">
        <v>19</v>
      </c>
      <c r="K9" s="9"/>
      <c r="L9" s="9"/>
      <c r="M9" s="9"/>
      <c r="N9" s="9"/>
      <c r="O9" s="9"/>
      <c r="P9" s="9">
        <v>1</v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>
        <v>5</v>
      </c>
      <c r="AC9" s="9">
        <v>5</v>
      </c>
      <c r="AD9" s="9"/>
      <c r="AE9" s="9"/>
      <c r="AF9" s="9"/>
      <c r="AG9" s="9"/>
      <c r="AH9" s="9"/>
      <c r="AI9" s="9">
        <v>1</v>
      </c>
      <c r="AJ9" s="9"/>
      <c r="AK9" s="9"/>
      <c r="AL9" s="9"/>
      <c r="AM9" s="9">
        <v>1</v>
      </c>
      <c r="AN9" s="9"/>
      <c r="AO9" s="9"/>
      <c r="AP9" s="9"/>
      <c r="AQ9" s="9"/>
      <c r="AR9" s="9"/>
      <c r="AS9" s="9">
        <v>4</v>
      </c>
      <c r="AT9" s="9"/>
      <c r="AU9" s="9"/>
      <c r="AV9" s="9" t="s">
        <v>112</v>
      </c>
      <c r="AW9" s="6"/>
    </row>
    <row r="10" spans="1:49" x14ac:dyDescent="0.2">
      <c r="A10" s="15">
        <v>8</v>
      </c>
      <c r="B10" s="9">
        <v>38.353974977508102</v>
      </c>
      <c r="C10" s="9">
        <f>-28.2006480172276</f>
        <v>-28.2006480172276</v>
      </c>
      <c r="D10" s="10">
        <v>42564</v>
      </c>
      <c r="E10" s="11">
        <v>0.43842592592592594</v>
      </c>
      <c r="F10" s="11"/>
      <c r="G10" s="11">
        <v>6.9444444444444447E-4</v>
      </c>
      <c r="H10" s="9" t="s">
        <v>20</v>
      </c>
      <c r="I10" s="9" t="s">
        <v>21</v>
      </c>
      <c r="J10" s="9" t="s">
        <v>21</v>
      </c>
      <c r="K10" s="9"/>
      <c r="L10" s="9">
        <v>1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>
        <v>1</v>
      </c>
      <c r="AA10" s="9"/>
      <c r="AB10" s="9">
        <v>3</v>
      </c>
      <c r="AC10" s="9">
        <v>3</v>
      </c>
      <c r="AD10" s="9"/>
      <c r="AE10" s="9"/>
      <c r="AF10" s="9"/>
      <c r="AG10" s="9"/>
      <c r="AH10" s="9"/>
      <c r="AI10" s="9">
        <v>1</v>
      </c>
      <c r="AJ10" s="9"/>
      <c r="AK10" s="9"/>
      <c r="AL10" s="9">
        <v>1</v>
      </c>
      <c r="AM10" s="9"/>
      <c r="AN10" s="9"/>
      <c r="AO10" s="9"/>
      <c r="AP10" s="9"/>
      <c r="AQ10" s="9"/>
      <c r="AR10" s="9"/>
      <c r="AS10" s="9">
        <v>4</v>
      </c>
      <c r="AT10" s="9"/>
      <c r="AU10" s="9"/>
      <c r="AV10" s="9" t="s">
        <v>112</v>
      </c>
      <c r="AW10" s="6"/>
    </row>
    <row r="11" spans="1:49" x14ac:dyDescent="0.2">
      <c r="A11" s="15">
        <v>9</v>
      </c>
      <c r="B11" s="9">
        <v>38.346873996779301</v>
      </c>
      <c r="C11" s="9">
        <f>-28.1215640064328</f>
        <v>-28.121564006432799</v>
      </c>
      <c r="D11" s="10">
        <v>42570</v>
      </c>
      <c r="E11" s="11">
        <v>0.49049768518518522</v>
      </c>
      <c r="F11" s="11"/>
      <c r="G11" s="11">
        <v>6.9444444444444447E-4</v>
      </c>
      <c r="H11" s="9" t="s">
        <v>22</v>
      </c>
      <c r="I11" s="9" t="s">
        <v>23</v>
      </c>
      <c r="J11" s="9" t="s">
        <v>23</v>
      </c>
      <c r="K11" s="9"/>
      <c r="L11" s="9">
        <v>1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>
        <v>1</v>
      </c>
      <c r="AC11" s="9">
        <v>1</v>
      </c>
      <c r="AD11" s="9"/>
      <c r="AE11" s="9"/>
      <c r="AF11" s="9"/>
      <c r="AG11" s="9"/>
      <c r="AH11" s="9"/>
      <c r="AI11" s="9">
        <v>1</v>
      </c>
      <c r="AJ11" s="9"/>
      <c r="AK11" s="9"/>
      <c r="AL11" s="9"/>
      <c r="AM11" s="9">
        <v>1</v>
      </c>
      <c r="AN11" s="9"/>
      <c r="AO11" s="9"/>
      <c r="AP11" s="9"/>
      <c r="AQ11" s="9"/>
      <c r="AR11" s="9"/>
      <c r="AS11" s="9">
        <v>1</v>
      </c>
      <c r="AT11" s="9"/>
      <c r="AU11" s="9"/>
      <c r="AV11" s="9" t="s">
        <v>112</v>
      </c>
      <c r="AW11" s="6"/>
    </row>
    <row r="12" spans="1:49" x14ac:dyDescent="0.2">
      <c r="A12" s="15">
        <v>10</v>
      </c>
      <c r="B12" s="9">
        <v>38.380059041082802</v>
      </c>
      <c r="C12" s="9">
        <f>-28.1593000050634</f>
        <v>-28.1593000050634</v>
      </c>
      <c r="D12" s="10">
        <v>42573</v>
      </c>
      <c r="E12" s="11">
        <v>0.47578703703703701</v>
      </c>
      <c r="F12" s="11"/>
      <c r="G12" s="11">
        <v>6.9444444444444447E-4</v>
      </c>
      <c r="H12" s="9" t="s">
        <v>24</v>
      </c>
      <c r="I12" s="9" t="s">
        <v>25</v>
      </c>
      <c r="J12" s="9" t="s">
        <v>25</v>
      </c>
      <c r="K12" s="9"/>
      <c r="L12" s="9">
        <v>1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>
        <v>5</v>
      </c>
      <c r="AC12" s="9">
        <v>3</v>
      </c>
      <c r="AD12" s="9">
        <v>2</v>
      </c>
      <c r="AE12" s="9"/>
      <c r="AF12" s="9"/>
      <c r="AG12" s="9"/>
      <c r="AH12" s="9"/>
      <c r="AI12" s="9">
        <v>1</v>
      </c>
      <c r="AJ12" s="9"/>
      <c r="AK12" s="9"/>
      <c r="AL12" s="9"/>
      <c r="AM12" s="9">
        <v>1</v>
      </c>
      <c r="AN12" s="9"/>
      <c r="AO12" s="9"/>
      <c r="AP12" s="9"/>
      <c r="AQ12" s="9"/>
      <c r="AR12" s="9"/>
      <c r="AS12" s="9">
        <v>2</v>
      </c>
      <c r="AT12" s="9"/>
      <c r="AU12" s="9"/>
      <c r="AV12" s="9" t="s">
        <v>112</v>
      </c>
      <c r="AW12" s="6"/>
    </row>
    <row r="13" spans="1:49" x14ac:dyDescent="0.2">
      <c r="A13" s="15">
        <v>11</v>
      </c>
      <c r="B13" s="9">
        <v>38.342472994700003</v>
      </c>
      <c r="C13" s="9">
        <f>-28.1824540067464</f>
        <v>-28.182454006746401</v>
      </c>
      <c r="D13" s="10">
        <v>42573</v>
      </c>
      <c r="E13" s="11">
        <v>0.50326388888888884</v>
      </c>
      <c r="F13" s="11"/>
      <c r="G13" s="11">
        <v>6.9444444444444447E-4</v>
      </c>
      <c r="H13" s="9" t="s">
        <v>26</v>
      </c>
      <c r="I13" s="9" t="s">
        <v>27</v>
      </c>
      <c r="J13" s="9" t="s">
        <v>27</v>
      </c>
      <c r="K13" s="9"/>
      <c r="L13" s="9"/>
      <c r="M13" s="9"/>
      <c r="N13" s="9"/>
      <c r="O13" s="9"/>
      <c r="P13" s="9">
        <v>1</v>
      </c>
      <c r="Q13" s="9"/>
      <c r="R13" s="9"/>
      <c r="S13" s="9"/>
      <c r="T13" s="9"/>
      <c r="U13" s="9"/>
      <c r="V13" s="9"/>
      <c r="W13" s="9"/>
      <c r="X13" s="9"/>
      <c r="Y13" s="9"/>
      <c r="Z13" s="9">
        <v>1</v>
      </c>
      <c r="AA13" s="9"/>
      <c r="AB13" s="9">
        <v>4</v>
      </c>
      <c r="AC13" s="9">
        <v>4</v>
      </c>
      <c r="AD13" s="9"/>
      <c r="AE13" s="9"/>
      <c r="AF13" s="9"/>
      <c r="AG13" s="9"/>
      <c r="AH13" s="9"/>
      <c r="AI13" s="9">
        <v>1</v>
      </c>
      <c r="AJ13" s="9"/>
      <c r="AK13" s="9"/>
      <c r="AL13" s="9"/>
      <c r="AM13" s="9">
        <v>1</v>
      </c>
      <c r="AN13" s="9"/>
      <c r="AO13" s="9"/>
      <c r="AP13" s="9"/>
      <c r="AQ13" s="9"/>
      <c r="AR13" s="9"/>
      <c r="AS13" s="9">
        <v>3</v>
      </c>
      <c r="AT13" s="9"/>
      <c r="AU13" s="9"/>
      <c r="AV13" s="9" t="s">
        <v>112</v>
      </c>
      <c r="AW13" s="6"/>
    </row>
    <row r="14" spans="1:49" x14ac:dyDescent="0.2">
      <c r="A14" s="15">
        <v>12</v>
      </c>
      <c r="B14" s="9">
        <v>38.333482984453397</v>
      </c>
      <c r="C14" s="9">
        <f>-28.2900919765233</f>
        <v>-28.2900919765233</v>
      </c>
      <c r="D14" s="10">
        <v>42576</v>
      </c>
      <c r="E14" s="11">
        <v>0.72337962962962965</v>
      </c>
      <c r="F14" s="11"/>
      <c r="G14" s="11">
        <v>6.9444444444444447E-4</v>
      </c>
      <c r="H14" s="9" t="s">
        <v>28</v>
      </c>
      <c r="I14" s="9" t="s">
        <v>29</v>
      </c>
      <c r="J14" s="9" t="s">
        <v>29</v>
      </c>
      <c r="K14" s="9"/>
      <c r="L14" s="9"/>
      <c r="M14" s="9"/>
      <c r="N14" s="9"/>
      <c r="O14" s="9"/>
      <c r="P14" s="9">
        <v>1</v>
      </c>
      <c r="Q14" s="9"/>
      <c r="R14" s="9"/>
      <c r="S14" s="9"/>
      <c r="T14" s="9"/>
      <c r="U14" s="9"/>
      <c r="V14" s="9"/>
      <c r="W14" s="9"/>
      <c r="X14" s="9"/>
      <c r="Y14" s="9"/>
      <c r="Z14" s="9">
        <v>1</v>
      </c>
      <c r="AA14" s="9"/>
      <c r="AB14" s="9">
        <v>5</v>
      </c>
      <c r="AC14" s="9">
        <v>4</v>
      </c>
      <c r="AD14" s="9">
        <v>1</v>
      </c>
      <c r="AE14" s="9"/>
      <c r="AF14" s="9"/>
      <c r="AG14" s="9"/>
      <c r="AH14" s="9"/>
      <c r="AI14" s="9">
        <v>1</v>
      </c>
      <c r="AJ14" s="9"/>
      <c r="AK14" s="9"/>
      <c r="AL14" s="9">
        <v>1</v>
      </c>
      <c r="AM14" s="9"/>
      <c r="AN14" s="9"/>
      <c r="AO14" s="9"/>
      <c r="AP14" s="9"/>
      <c r="AQ14" s="9"/>
      <c r="AR14" s="9"/>
      <c r="AS14" s="9">
        <v>1</v>
      </c>
      <c r="AT14" s="9"/>
      <c r="AU14" s="9"/>
      <c r="AV14" s="9" t="s">
        <v>112</v>
      </c>
      <c r="AW14" s="6"/>
    </row>
    <row r="15" spans="1:49" x14ac:dyDescent="0.2">
      <c r="A15" s="15">
        <v>13</v>
      </c>
      <c r="B15" s="9">
        <v>38.350524986162696</v>
      </c>
      <c r="C15" s="9">
        <f>-28.3146080374717</f>
        <v>-28.3146080374717</v>
      </c>
      <c r="D15" s="10">
        <v>42594</v>
      </c>
      <c r="E15" s="11">
        <v>0.48790509259259257</v>
      </c>
      <c r="F15" s="11"/>
      <c r="G15" s="11">
        <v>6.9444444444444447E-4</v>
      </c>
      <c r="H15" s="9" t="s">
        <v>30</v>
      </c>
      <c r="I15" s="9" t="s">
        <v>31</v>
      </c>
      <c r="J15" s="9" t="s">
        <v>31</v>
      </c>
      <c r="K15" s="9"/>
      <c r="L15" s="9">
        <v>1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>
        <v>1</v>
      </c>
      <c r="AA15" s="9"/>
      <c r="AB15" s="9">
        <v>15</v>
      </c>
      <c r="AC15" s="9">
        <v>9</v>
      </c>
      <c r="AD15" s="9">
        <v>3</v>
      </c>
      <c r="AE15" s="9">
        <v>3</v>
      </c>
      <c r="AF15" s="9"/>
      <c r="AG15" s="9"/>
      <c r="AH15" s="9"/>
      <c r="AI15" s="9">
        <v>1</v>
      </c>
      <c r="AJ15" s="9"/>
      <c r="AK15" s="9"/>
      <c r="AL15" s="9"/>
      <c r="AM15" s="9">
        <v>1</v>
      </c>
      <c r="AN15" s="9"/>
      <c r="AO15" s="9"/>
      <c r="AP15" s="9"/>
      <c r="AQ15" s="9"/>
      <c r="AR15" s="9"/>
      <c r="AS15" s="9">
        <v>1</v>
      </c>
      <c r="AT15" s="9"/>
      <c r="AU15" s="9"/>
      <c r="AV15" s="9" t="s">
        <v>112</v>
      </c>
      <c r="AW15" s="6"/>
    </row>
    <row r="16" spans="1:49" x14ac:dyDescent="0.2">
      <c r="A16" s="15">
        <v>14</v>
      </c>
      <c r="B16" s="9">
        <v>38.232454983517499</v>
      </c>
      <c r="C16" s="9">
        <f>-28.2523999828845</f>
        <v>-28.252399982884501</v>
      </c>
      <c r="D16" s="10">
        <v>42605</v>
      </c>
      <c r="E16" s="11">
        <v>0.67166666666666675</v>
      </c>
      <c r="F16" s="11"/>
      <c r="G16" s="11">
        <v>6.9444444444444447E-4</v>
      </c>
      <c r="H16" s="9" t="s">
        <v>32</v>
      </c>
      <c r="I16" s="9" t="s">
        <v>33</v>
      </c>
      <c r="J16" s="9" t="s">
        <v>33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>
        <v>1</v>
      </c>
      <c r="AB16" s="9">
        <v>3</v>
      </c>
      <c r="AC16" s="9">
        <v>3</v>
      </c>
      <c r="AD16" s="9"/>
      <c r="AE16" s="9"/>
      <c r="AF16" s="9"/>
      <c r="AG16" s="9"/>
      <c r="AH16" s="9"/>
      <c r="AI16" s="9">
        <v>1</v>
      </c>
      <c r="AJ16" s="9"/>
      <c r="AK16" s="9"/>
      <c r="AL16" s="9"/>
      <c r="AM16" s="9">
        <v>1</v>
      </c>
      <c r="AN16" s="9"/>
      <c r="AO16" s="9"/>
      <c r="AP16" s="9"/>
      <c r="AQ16" s="9"/>
      <c r="AR16" s="9"/>
      <c r="AS16" s="9">
        <v>1</v>
      </c>
      <c r="AT16" s="9"/>
      <c r="AU16" s="9"/>
      <c r="AV16" s="9" t="s">
        <v>112</v>
      </c>
      <c r="AW16" s="6"/>
    </row>
    <row r="17" spans="1:49" x14ac:dyDescent="0.2">
      <c r="A17" s="15">
        <v>15</v>
      </c>
      <c r="B17" s="9">
        <v>38.340328987687798</v>
      </c>
      <c r="C17" s="9">
        <f>-28.2013710401952</f>
        <v>-28.201371040195198</v>
      </c>
      <c r="D17" s="10">
        <v>42610</v>
      </c>
      <c r="E17" s="11">
        <v>0.71302083333333333</v>
      </c>
      <c r="F17" s="11"/>
      <c r="G17" s="11">
        <v>6.9444444444444447E-4</v>
      </c>
      <c r="H17" s="9" t="s">
        <v>34</v>
      </c>
      <c r="I17" s="9" t="s">
        <v>35</v>
      </c>
      <c r="J17" s="9" t="s">
        <v>35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>
        <v>1</v>
      </c>
      <c r="AB17" s="9">
        <v>2</v>
      </c>
      <c r="AC17" s="9">
        <v>2</v>
      </c>
      <c r="AD17" s="9"/>
      <c r="AE17" s="9"/>
      <c r="AF17" s="9"/>
      <c r="AG17" s="9"/>
      <c r="AH17" s="9"/>
      <c r="AI17" s="9">
        <v>1</v>
      </c>
      <c r="AJ17" s="9"/>
      <c r="AK17" s="9"/>
      <c r="AL17" s="9"/>
      <c r="AM17" s="9"/>
      <c r="AN17" s="9">
        <v>1</v>
      </c>
      <c r="AO17" s="9"/>
      <c r="AP17" s="9"/>
      <c r="AQ17" s="9"/>
      <c r="AR17" s="9"/>
      <c r="AS17" s="9">
        <v>3</v>
      </c>
      <c r="AT17" s="9"/>
      <c r="AU17" s="9"/>
      <c r="AV17" s="9" t="s">
        <v>112</v>
      </c>
      <c r="AW17" s="6"/>
    </row>
    <row r="18" spans="1:49" x14ac:dyDescent="0.2">
      <c r="A18" s="15">
        <v>16</v>
      </c>
      <c r="B18" s="9">
        <v>38.379613040015101</v>
      </c>
      <c r="C18" s="9">
        <f>-28.1398020219057</f>
        <v>-28.139802021905702</v>
      </c>
      <c r="D18" s="10">
        <v>42614</v>
      </c>
      <c r="E18" s="11">
        <v>0.45512731481481478</v>
      </c>
      <c r="F18" s="11"/>
      <c r="G18" s="11">
        <v>6.9444444444444447E-4</v>
      </c>
      <c r="H18" s="9" t="s">
        <v>36</v>
      </c>
      <c r="I18" s="9" t="s">
        <v>37</v>
      </c>
      <c r="J18" s="9" t="s">
        <v>37</v>
      </c>
      <c r="K18" s="9"/>
      <c r="L18" s="9"/>
      <c r="M18" s="9"/>
      <c r="N18" s="9"/>
      <c r="O18" s="9"/>
      <c r="P18" s="9">
        <v>1</v>
      </c>
      <c r="Q18" s="9"/>
      <c r="R18" s="9"/>
      <c r="S18" s="9"/>
      <c r="T18" s="9"/>
      <c r="U18" s="9"/>
      <c r="V18" s="9"/>
      <c r="W18" s="9"/>
      <c r="X18" s="9"/>
      <c r="Y18" s="9"/>
      <c r="Z18" s="9">
        <v>1</v>
      </c>
      <c r="AA18" s="9"/>
      <c r="AB18" s="9">
        <v>2</v>
      </c>
      <c r="AC18" s="9">
        <v>2</v>
      </c>
      <c r="AD18" s="9"/>
      <c r="AE18" s="9"/>
      <c r="AF18" s="9"/>
      <c r="AG18" s="9"/>
      <c r="AH18" s="9"/>
      <c r="AI18" s="9">
        <v>1</v>
      </c>
      <c r="AJ18" s="9"/>
      <c r="AK18" s="9"/>
      <c r="AL18" s="9"/>
      <c r="AM18" s="9">
        <v>1</v>
      </c>
      <c r="AN18" s="9"/>
      <c r="AO18" s="9"/>
      <c r="AP18" s="9"/>
      <c r="AQ18" s="9"/>
      <c r="AR18" s="9"/>
      <c r="AS18" s="9">
        <v>1</v>
      </c>
      <c r="AT18" s="9"/>
      <c r="AU18" s="9"/>
      <c r="AV18" s="9" t="s">
        <v>112</v>
      </c>
      <c r="AW18" s="6"/>
    </row>
    <row r="19" spans="1:49" x14ac:dyDescent="0.2">
      <c r="A19" s="15">
        <v>17</v>
      </c>
      <c r="B19" s="9">
        <v>38.285612007603</v>
      </c>
      <c r="C19" s="9">
        <f>-27.9412520024925</f>
        <v>-27.941252002492501</v>
      </c>
      <c r="D19" s="10">
        <v>42614</v>
      </c>
      <c r="E19" s="11">
        <v>0.62403935185185189</v>
      </c>
      <c r="F19" s="11"/>
      <c r="G19" s="11">
        <v>6.9444444444444447E-4</v>
      </c>
      <c r="H19" s="9" t="s">
        <v>38</v>
      </c>
      <c r="I19" s="9" t="s">
        <v>39</v>
      </c>
      <c r="J19" s="9" t="s">
        <v>39</v>
      </c>
      <c r="K19" s="9"/>
      <c r="L19" s="9"/>
      <c r="M19" s="9"/>
      <c r="N19" s="9"/>
      <c r="O19" s="9"/>
      <c r="P19" s="9">
        <v>1</v>
      </c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>
        <v>2</v>
      </c>
      <c r="AC19" s="9">
        <v>1</v>
      </c>
      <c r="AD19" s="9"/>
      <c r="AE19" s="9">
        <v>1</v>
      </c>
      <c r="AF19" s="9"/>
      <c r="AG19" s="9"/>
      <c r="AH19" s="9"/>
      <c r="AI19" s="9">
        <v>1</v>
      </c>
      <c r="AJ19" s="9"/>
      <c r="AK19" s="9"/>
      <c r="AL19" s="9"/>
      <c r="AM19" s="9">
        <v>1</v>
      </c>
      <c r="AN19" s="9"/>
      <c r="AO19" s="9"/>
      <c r="AP19" s="9"/>
      <c r="AQ19" s="9"/>
      <c r="AR19" s="9"/>
      <c r="AS19" s="9">
        <v>1</v>
      </c>
      <c r="AT19" s="9"/>
      <c r="AU19" s="9"/>
      <c r="AV19" s="9" t="s">
        <v>112</v>
      </c>
      <c r="AW19" s="6"/>
    </row>
    <row r="20" spans="1:49" x14ac:dyDescent="0.2">
      <c r="A20" s="15">
        <v>18</v>
      </c>
      <c r="B20" s="9">
        <v>38.3432879671454</v>
      </c>
      <c r="C20" s="9">
        <f>-28.3457430358976</f>
        <v>-28.345743035897598</v>
      </c>
      <c r="D20" s="10">
        <v>42635</v>
      </c>
      <c r="E20" s="11">
        <v>0.4987847222222222</v>
      </c>
      <c r="F20" s="11"/>
      <c r="G20" s="11">
        <v>6.9444444444444447E-4</v>
      </c>
      <c r="H20" s="9" t="s">
        <v>40</v>
      </c>
      <c r="I20" s="9" t="s">
        <v>41</v>
      </c>
      <c r="J20" s="9" t="s">
        <v>41</v>
      </c>
      <c r="K20" s="9"/>
      <c r="L20" s="9"/>
      <c r="M20" s="9"/>
      <c r="N20" s="9"/>
      <c r="O20" s="9">
        <v>1</v>
      </c>
      <c r="P20" s="9"/>
      <c r="Q20" s="9"/>
      <c r="R20" s="9"/>
      <c r="S20" s="9"/>
      <c r="T20" s="9"/>
      <c r="U20" s="9"/>
      <c r="V20" s="9"/>
      <c r="W20" s="9"/>
      <c r="X20" s="9"/>
      <c r="Y20" s="9"/>
      <c r="Z20" s="9">
        <v>1</v>
      </c>
      <c r="AA20" s="9"/>
      <c r="AB20" s="9">
        <v>3</v>
      </c>
      <c r="AC20" s="9">
        <v>3</v>
      </c>
      <c r="AD20" s="9"/>
      <c r="AE20" s="9"/>
      <c r="AF20" s="9"/>
      <c r="AG20" s="9"/>
      <c r="AH20" s="9"/>
      <c r="AI20" s="9">
        <v>1</v>
      </c>
      <c r="AJ20" s="9"/>
      <c r="AK20" s="9"/>
      <c r="AL20" s="9"/>
      <c r="AM20" s="9">
        <v>1</v>
      </c>
      <c r="AN20" s="9"/>
      <c r="AO20" s="9"/>
      <c r="AP20" s="9"/>
      <c r="AQ20" s="9"/>
      <c r="AR20" s="9"/>
      <c r="AS20" s="9">
        <v>2</v>
      </c>
      <c r="AT20" s="9"/>
      <c r="AU20" s="9"/>
      <c r="AV20" s="9" t="s">
        <v>112</v>
      </c>
      <c r="AW20" s="6"/>
    </row>
    <row r="21" spans="1:49" x14ac:dyDescent="0.2">
      <c r="A21" s="15">
        <v>19</v>
      </c>
      <c r="B21" s="9">
        <v>38.3850659709423</v>
      </c>
      <c r="C21" s="9">
        <f>-28.400763021782</f>
        <v>-28.400763021782002</v>
      </c>
      <c r="D21" s="10">
        <v>42679</v>
      </c>
      <c r="E21" s="11">
        <v>0.52249999999999996</v>
      </c>
      <c r="F21" s="11"/>
      <c r="G21" s="11">
        <v>6.9444444444444447E-4</v>
      </c>
      <c r="H21" s="9" t="s">
        <v>42</v>
      </c>
      <c r="I21" s="9" t="s">
        <v>43</v>
      </c>
      <c r="J21" s="9" t="s">
        <v>43</v>
      </c>
      <c r="K21" s="9"/>
      <c r="L21" s="9"/>
      <c r="M21" s="9"/>
      <c r="N21" s="9"/>
      <c r="O21" s="9">
        <v>1</v>
      </c>
      <c r="P21" s="9"/>
      <c r="Q21" s="9"/>
      <c r="R21" s="9"/>
      <c r="S21" s="9"/>
      <c r="T21" s="9"/>
      <c r="U21" s="9"/>
      <c r="V21" s="9"/>
      <c r="W21" s="9"/>
      <c r="X21" s="9"/>
      <c r="Y21" s="9"/>
      <c r="Z21" s="9">
        <v>1</v>
      </c>
      <c r="AA21" s="9"/>
      <c r="AB21" s="9">
        <v>3</v>
      </c>
      <c r="AC21" s="9">
        <v>3</v>
      </c>
      <c r="AD21" s="9"/>
      <c r="AE21" s="9"/>
      <c r="AF21" s="9"/>
      <c r="AG21" s="9"/>
      <c r="AH21" s="9"/>
      <c r="AI21" s="9"/>
      <c r="AJ21" s="9">
        <v>1</v>
      </c>
      <c r="AK21" s="9"/>
      <c r="AL21" s="9"/>
      <c r="AM21" s="9"/>
      <c r="AN21" s="9">
        <v>1</v>
      </c>
      <c r="AO21" s="9"/>
      <c r="AP21" s="9"/>
      <c r="AQ21" s="9"/>
      <c r="AR21" s="9"/>
      <c r="AS21" s="9">
        <v>2</v>
      </c>
      <c r="AT21" s="9"/>
      <c r="AU21" s="9"/>
      <c r="AV21" s="9" t="s">
        <v>112</v>
      </c>
      <c r="AW21" s="6"/>
    </row>
    <row r="22" spans="1:49" x14ac:dyDescent="0.2">
      <c r="A22" s="15">
        <v>20</v>
      </c>
      <c r="B22" s="9">
        <v>38.282511960714999</v>
      </c>
      <c r="C22" s="9">
        <f>-28.4131959825754</f>
        <v>-28.413195982575399</v>
      </c>
      <c r="D22" s="10">
        <v>42917</v>
      </c>
      <c r="E22" s="11">
        <v>0.63013888888888892</v>
      </c>
      <c r="F22" s="11"/>
      <c r="G22" s="11">
        <v>6.9444444444444447E-4</v>
      </c>
      <c r="H22" s="9" t="s">
        <v>44</v>
      </c>
      <c r="I22" s="9" t="s">
        <v>45</v>
      </c>
      <c r="J22" s="9" t="s">
        <v>45</v>
      </c>
      <c r="K22" s="9"/>
      <c r="L22" s="9"/>
      <c r="M22" s="9"/>
      <c r="N22" s="9"/>
      <c r="O22" s="9"/>
      <c r="P22" s="9">
        <v>1</v>
      </c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>
        <v>1</v>
      </c>
      <c r="AC22" s="9">
        <v>1</v>
      </c>
      <c r="AD22" s="9"/>
      <c r="AE22" s="9"/>
      <c r="AF22" s="9"/>
      <c r="AG22" s="9"/>
      <c r="AH22" s="9"/>
      <c r="AI22" s="9">
        <v>1</v>
      </c>
      <c r="AJ22" s="9"/>
      <c r="AK22" s="9"/>
      <c r="AL22" s="9"/>
      <c r="AM22" s="9"/>
      <c r="AN22" s="9">
        <v>1</v>
      </c>
      <c r="AO22" s="9"/>
      <c r="AP22" s="9"/>
      <c r="AQ22" s="9"/>
      <c r="AR22" s="9"/>
      <c r="AS22" s="9">
        <v>1</v>
      </c>
      <c r="AT22" s="9"/>
      <c r="AU22" s="9"/>
      <c r="AV22" s="9" t="s">
        <v>112</v>
      </c>
      <c r="AW22" s="6"/>
    </row>
    <row r="23" spans="1:49" x14ac:dyDescent="0.2">
      <c r="A23" s="15">
        <v>21</v>
      </c>
      <c r="B23" s="9">
        <v>38.386452002450802</v>
      </c>
      <c r="C23" s="9">
        <f>-28.1402200274169</f>
        <v>-28.140220027416898</v>
      </c>
      <c r="D23" s="10">
        <v>42939</v>
      </c>
      <c r="E23" s="11">
        <v>0.47127314814814819</v>
      </c>
      <c r="F23" s="11"/>
      <c r="G23" s="11">
        <v>6.9444444444444447E-4</v>
      </c>
      <c r="H23" s="9" t="s">
        <v>46</v>
      </c>
      <c r="I23" s="9" t="s">
        <v>47</v>
      </c>
      <c r="J23" s="9" t="s">
        <v>47</v>
      </c>
      <c r="K23" s="9"/>
      <c r="L23" s="9"/>
      <c r="M23" s="9"/>
      <c r="N23" s="9"/>
      <c r="O23" s="9"/>
      <c r="P23" s="9">
        <v>1</v>
      </c>
      <c r="Q23" s="9"/>
      <c r="R23" s="9"/>
      <c r="S23" s="9"/>
      <c r="T23" s="9"/>
      <c r="U23" s="9"/>
      <c r="V23" s="9"/>
      <c r="W23" s="9"/>
      <c r="X23" s="9"/>
      <c r="Y23" s="9"/>
      <c r="Z23" s="9">
        <v>1</v>
      </c>
      <c r="AA23" s="9"/>
      <c r="AB23" s="9">
        <v>5</v>
      </c>
      <c r="AC23" s="9">
        <v>2</v>
      </c>
      <c r="AD23" s="9">
        <v>3</v>
      </c>
      <c r="AE23" s="9"/>
      <c r="AF23" s="9"/>
      <c r="AG23" s="9"/>
      <c r="AH23" s="9"/>
      <c r="AI23" s="9">
        <v>1</v>
      </c>
      <c r="AJ23" s="9"/>
      <c r="AK23" s="9"/>
      <c r="AL23" s="9"/>
      <c r="AM23" s="9"/>
      <c r="AN23" s="9">
        <v>1</v>
      </c>
      <c r="AO23" s="9"/>
      <c r="AP23" s="9"/>
      <c r="AQ23" s="9"/>
      <c r="AR23" s="9"/>
      <c r="AS23" s="9">
        <v>2</v>
      </c>
      <c r="AT23" s="9"/>
      <c r="AU23" s="9"/>
      <c r="AV23" s="9" t="s">
        <v>112</v>
      </c>
      <c r="AW23" s="6"/>
    </row>
    <row r="24" spans="1:49" x14ac:dyDescent="0.2">
      <c r="A24" s="15">
        <v>22</v>
      </c>
      <c r="B24" s="9">
        <v>38.382579982280703</v>
      </c>
      <c r="C24" s="9">
        <f>-28.3554490283131</f>
        <v>-28.3554490283131</v>
      </c>
      <c r="D24" s="10">
        <v>42970</v>
      </c>
      <c r="E24" s="11">
        <v>0.4380324074074074</v>
      </c>
      <c r="F24" s="11"/>
      <c r="G24" s="11">
        <v>6.9444444444444447E-4</v>
      </c>
      <c r="H24" s="9" t="s">
        <v>48</v>
      </c>
      <c r="I24" s="9" t="s">
        <v>49</v>
      </c>
      <c r="J24" s="9" t="s">
        <v>49</v>
      </c>
      <c r="K24" s="9"/>
      <c r="L24" s="9"/>
      <c r="M24" s="9"/>
      <c r="N24" s="9">
        <v>1</v>
      </c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>
        <v>5</v>
      </c>
      <c r="AC24" s="9">
        <v>5</v>
      </c>
      <c r="AD24" s="9"/>
      <c r="AE24" s="9"/>
      <c r="AF24" s="9"/>
      <c r="AG24" s="9"/>
      <c r="AH24" s="9"/>
      <c r="AI24" s="9">
        <v>1</v>
      </c>
      <c r="AJ24" s="9"/>
      <c r="AK24" s="9"/>
      <c r="AL24" s="9"/>
      <c r="AM24" s="9">
        <v>1</v>
      </c>
      <c r="AN24" s="9"/>
      <c r="AO24" s="9"/>
      <c r="AP24" s="9"/>
      <c r="AQ24" s="9"/>
      <c r="AR24" s="9"/>
      <c r="AS24" s="9">
        <v>2</v>
      </c>
      <c r="AT24" s="9"/>
      <c r="AU24" s="9"/>
      <c r="AV24" s="9" t="s">
        <v>112</v>
      </c>
      <c r="AW24" s="6"/>
    </row>
    <row r="25" spans="1:49" x14ac:dyDescent="0.2">
      <c r="A25" s="15">
        <v>23</v>
      </c>
      <c r="B25" s="9">
        <v>38.372796960175002</v>
      </c>
      <c r="C25" s="9">
        <f>-28.3435530122369</f>
        <v>-28.343553012236899</v>
      </c>
      <c r="D25" s="10">
        <v>42971</v>
      </c>
      <c r="E25" s="11">
        <v>0.4332523148148148</v>
      </c>
      <c r="F25" s="11"/>
      <c r="G25" s="11">
        <v>6.9444444444444447E-4</v>
      </c>
      <c r="H25" s="9" t="s">
        <v>50</v>
      </c>
      <c r="I25" s="9" t="s">
        <v>51</v>
      </c>
      <c r="J25" s="9" t="s">
        <v>51</v>
      </c>
      <c r="K25" s="9"/>
      <c r="L25" s="9"/>
      <c r="M25" s="9"/>
      <c r="N25" s="9"/>
      <c r="O25" s="9"/>
      <c r="P25" s="9">
        <v>1</v>
      </c>
      <c r="Q25" s="9"/>
      <c r="R25" s="9"/>
      <c r="S25" s="9"/>
      <c r="T25" s="9"/>
      <c r="U25" s="9"/>
      <c r="V25" s="9"/>
      <c r="W25" s="9"/>
      <c r="X25" s="9"/>
      <c r="Y25" s="9"/>
      <c r="Z25" s="9">
        <v>1</v>
      </c>
      <c r="AA25" s="9"/>
      <c r="AB25" s="9">
        <v>4</v>
      </c>
      <c r="AC25" s="9">
        <v>4</v>
      </c>
      <c r="AD25" s="9"/>
      <c r="AE25" s="9"/>
      <c r="AF25" s="9"/>
      <c r="AG25" s="9"/>
      <c r="AH25" s="9"/>
      <c r="AI25" s="9">
        <v>1</v>
      </c>
      <c r="AJ25" s="9"/>
      <c r="AK25" s="9"/>
      <c r="AL25" s="9"/>
      <c r="AM25" s="9"/>
      <c r="AN25" s="9">
        <v>1</v>
      </c>
      <c r="AO25" s="9"/>
      <c r="AP25" s="9"/>
      <c r="AQ25" s="9"/>
      <c r="AR25" s="9"/>
      <c r="AS25" s="9">
        <v>3</v>
      </c>
      <c r="AT25" s="9"/>
      <c r="AU25" s="9"/>
      <c r="AV25" s="9" t="s">
        <v>112</v>
      </c>
      <c r="AW25" s="6"/>
    </row>
    <row r="26" spans="1:49" x14ac:dyDescent="0.2">
      <c r="A26" s="15">
        <v>24</v>
      </c>
      <c r="B26" s="9">
        <v>38.3765160106122</v>
      </c>
      <c r="C26" s="9">
        <f>-28.3261240180581</f>
        <v>-28.326124018058099</v>
      </c>
      <c r="D26" s="10">
        <v>42972</v>
      </c>
      <c r="E26" s="11">
        <v>0.38141203703703702</v>
      </c>
      <c r="F26" s="11"/>
      <c r="G26" s="11">
        <v>6.9444444444444447E-4</v>
      </c>
      <c r="H26" s="9" t="s">
        <v>52</v>
      </c>
      <c r="I26" s="9" t="s">
        <v>53</v>
      </c>
      <c r="J26" s="9" t="s">
        <v>53</v>
      </c>
      <c r="K26" s="9"/>
      <c r="L26" s="9"/>
      <c r="M26" s="9"/>
      <c r="N26" s="9"/>
      <c r="O26" s="9"/>
      <c r="P26" s="9">
        <v>1</v>
      </c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>
        <v>5</v>
      </c>
      <c r="AC26" s="9">
        <v>5</v>
      </c>
      <c r="AD26" s="9"/>
      <c r="AE26" s="9"/>
      <c r="AF26" s="9"/>
      <c r="AG26" s="9"/>
      <c r="AH26" s="9"/>
      <c r="AI26" s="9"/>
      <c r="AJ26" s="9">
        <v>1</v>
      </c>
      <c r="AK26" s="9"/>
      <c r="AL26" s="9"/>
      <c r="AM26" s="9"/>
      <c r="AN26" s="9">
        <v>1</v>
      </c>
      <c r="AO26" s="9"/>
      <c r="AP26" s="9"/>
      <c r="AQ26" s="9"/>
      <c r="AR26" s="9"/>
      <c r="AS26" s="9">
        <v>3</v>
      </c>
      <c r="AT26" s="9"/>
      <c r="AU26" s="9"/>
      <c r="AV26" s="9" t="s">
        <v>112</v>
      </c>
      <c r="AW26" s="6"/>
    </row>
    <row r="27" spans="1:49" x14ac:dyDescent="0.2">
      <c r="A27" s="15">
        <v>25</v>
      </c>
      <c r="B27" s="9">
        <v>38.287382014095698</v>
      </c>
      <c r="C27" s="9">
        <f>-28.3067640010267</f>
        <v>-28.3067640010267</v>
      </c>
      <c r="D27" s="10">
        <v>43290</v>
      </c>
      <c r="E27" s="11">
        <v>0.60116898148148146</v>
      </c>
      <c r="F27" s="11"/>
      <c r="G27" s="11">
        <v>6.9444444444444447E-4</v>
      </c>
      <c r="H27" s="9" t="s">
        <v>54</v>
      </c>
      <c r="I27" s="9" t="s">
        <v>55</v>
      </c>
      <c r="J27" s="9" t="s">
        <v>55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>
        <v>1</v>
      </c>
      <c r="AB27" s="9">
        <v>2</v>
      </c>
      <c r="AC27" s="9">
        <v>1</v>
      </c>
      <c r="AD27" s="9"/>
      <c r="AE27" s="9">
        <v>1</v>
      </c>
      <c r="AF27" s="9"/>
      <c r="AG27" s="9"/>
      <c r="AH27" s="9"/>
      <c r="AI27" s="9"/>
      <c r="AJ27" s="9">
        <v>1</v>
      </c>
      <c r="AK27" s="9"/>
      <c r="AL27" s="9"/>
      <c r="AM27" s="9"/>
      <c r="AN27" s="9">
        <v>1</v>
      </c>
      <c r="AO27" s="9"/>
      <c r="AP27" s="9"/>
      <c r="AQ27" s="9"/>
      <c r="AR27" s="9"/>
      <c r="AS27" s="9">
        <v>2</v>
      </c>
      <c r="AT27" s="9"/>
      <c r="AU27" s="9"/>
      <c r="AV27" s="9" t="s">
        <v>112</v>
      </c>
      <c r="AW27" s="6"/>
    </row>
    <row r="28" spans="1:49" x14ac:dyDescent="0.2">
      <c r="A28" s="15">
        <v>26</v>
      </c>
      <c r="B28" s="9">
        <v>38.369241021573501</v>
      </c>
      <c r="C28" s="9">
        <f>-28.3351670019328</f>
        <v>-28.335167001932799</v>
      </c>
      <c r="D28" s="10">
        <v>43297</v>
      </c>
      <c r="E28" s="11">
        <v>0.59865740740740747</v>
      </c>
      <c r="F28" s="11">
        <v>0.60113425925925923</v>
      </c>
      <c r="G28" s="11">
        <f t="shared" si="0"/>
        <v>2.4768518518517579E-3</v>
      </c>
      <c r="H28" s="9" t="s">
        <v>56</v>
      </c>
      <c r="I28" s="9" t="s">
        <v>4</v>
      </c>
      <c r="J28" s="9" t="s">
        <v>58</v>
      </c>
      <c r="K28" s="9"/>
      <c r="L28" s="9"/>
      <c r="M28" s="9"/>
      <c r="N28" s="9"/>
      <c r="O28" s="9"/>
      <c r="P28" s="9">
        <v>1</v>
      </c>
      <c r="Q28" s="9"/>
      <c r="R28" s="9"/>
      <c r="S28" s="9"/>
      <c r="T28" s="9"/>
      <c r="U28" s="9"/>
      <c r="V28" s="9"/>
      <c r="W28" s="9"/>
      <c r="X28" s="9"/>
      <c r="Y28" s="9"/>
      <c r="Z28" s="9">
        <v>1</v>
      </c>
      <c r="AA28" s="9"/>
      <c r="AB28" s="9">
        <v>4</v>
      </c>
      <c r="AC28" s="9">
        <v>4</v>
      </c>
      <c r="AD28" s="9"/>
      <c r="AE28" s="9"/>
      <c r="AF28" s="9"/>
      <c r="AG28" s="9"/>
      <c r="AH28" s="9">
        <v>1</v>
      </c>
      <c r="AI28" s="9"/>
      <c r="AJ28" s="9"/>
      <c r="AK28" s="9"/>
      <c r="AL28" s="9"/>
      <c r="AM28" s="9">
        <v>1</v>
      </c>
      <c r="AN28" s="9"/>
      <c r="AO28" s="9"/>
      <c r="AP28" s="9"/>
      <c r="AQ28" s="9"/>
      <c r="AR28" s="9"/>
      <c r="AS28" s="9">
        <v>1</v>
      </c>
      <c r="AT28" s="9"/>
      <c r="AU28" s="9"/>
      <c r="AV28" s="9" t="s">
        <v>112</v>
      </c>
      <c r="AW28" s="6"/>
    </row>
    <row r="29" spans="1:49" x14ac:dyDescent="0.2">
      <c r="A29" s="15">
        <v>27</v>
      </c>
      <c r="B29" s="9">
        <v>38.400867031887103</v>
      </c>
      <c r="C29" s="9">
        <f>-28.4740050137043</f>
        <v>-28.4740050137043</v>
      </c>
      <c r="D29" s="10">
        <v>43298</v>
      </c>
      <c r="E29" s="11">
        <v>0.64777777777777779</v>
      </c>
      <c r="F29" s="11"/>
      <c r="G29" s="11">
        <v>6.9444444444444447E-4</v>
      </c>
      <c r="H29" s="9" t="s">
        <v>59</v>
      </c>
      <c r="I29" s="9" t="s">
        <v>60</v>
      </c>
      <c r="J29" s="9" t="s">
        <v>60</v>
      </c>
      <c r="K29" s="9"/>
      <c r="L29" s="9"/>
      <c r="M29" s="9"/>
      <c r="N29" s="9"/>
      <c r="O29" s="9"/>
      <c r="P29" s="9">
        <v>1</v>
      </c>
      <c r="Q29" s="9"/>
      <c r="R29" s="9"/>
      <c r="S29" s="9"/>
      <c r="T29" s="9"/>
      <c r="U29" s="9"/>
      <c r="V29" s="9"/>
      <c r="W29" s="9"/>
      <c r="X29" s="9"/>
      <c r="Y29" s="9"/>
      <c r="Z29" s="9">
        <v>1</v>
      </c>
      <c r="AA29" s="9"/>
      <c r="AB29" s="9">
        <v>3</v>
      </c>
      <c r="AC29" s="9">
        <v>2</v>
      </c>
      <c r="AD29" s="9">
        <v>1</v>
      </c>
      <c r="AE29" s="9"/>
      <c r="AF29" s="9"/>
      <c r="AG29" s="9"/>
      <c r="AH29" s="9"/>
      <c r="AI29" s="9"/>
      <c r="AJ29" s="9">
        <v>1</v>
      </c>
      <c r="AK29" s="9"/>
      <c r="AL29" s="9"/>
      <c r="AM29" s="9">
        <v>1</v>
      </c>
      <c r="AN29" s="9"/>
      <c r="AO29" s="9"/>
      <c r="AP29" s="9"/>
      <c r="AQ29" s="9"/>
      <c r="AR29" s="9"/>
      <c r="AS29" s="9">
        <v>1</v>
      </c>
      <c r="AT29" s="9"/>
      <c r="AU29" s="9"/>
      <c r="AV29" s="9" t="s">
        <v>112</v>
      </c>
      <c r="AW29" s="6"/>
    </row>
    <row r="30" spans="1:49" x14ac:dyDescent="0.2">
      <c r="A30" s="15">
        <v>28</v>
      </c>
      <c r="B30" s="9">
        <v>38.380188960581997</v>
      </c>
      <c r="C30" s="9">
        <f>-28.3450309932231</f>
        <v>-28.345030993223101</v>
      </c>
      <c r="D30" s="10">
        <v>43311</v>
      </c>
      <c r="E30" s="11">
        <v>0.39103009259259264</v>
      </c>
      <c r="F30" s="11"/>
      <c r="G30" s="11">
        <v>6.9444444444444447E-4</v>
      </c>
      <c r="H30" s="9" t="s">
        <v>61</v>
      </c>
      <c r="I30" s="9" t="s">
        <v>62</v>
      </c>
      <c r="J30" s="9" t="s">
        <v>62</v>
      </c>
      <c r="K30" s="9"/>
      <c r="L30" s="9"/>
      <c r="M30" s="9"/>
      <c r="N30" s="9"/>
      <c r="O30" s="9">
        <v>1</v>
      </c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>
        <v>5</v>
      </c>
      <c r="AC30" s="9">
        <v>3</v>
      </c>
      <c r="AD30" s="9">
        <v>2</v>
      </c>
      <c r="AE30" s="9"/>
      <c r="AF30" s="9"/>
      <c r="AG30" s="9"/>
      <c r="AH30" s="9"/>
      <c r="AI30" s="9">
        <v>1</v>
      </c>
      <c r="AJ30" s="9"/>
      <c r="AK30" s="9"/>
      <c r="AL30" s="9"/>
      <c r="AM30" s="9"/>
      <c r="AN30" s="9">
        <v>1</v>
      </c>
      <c r="AO30" s="9"/>
      <c r="AP30" s="9"/>
      <c r="AQ30" s="9"/>
      <c r="AR30" s="9"/>
      <c r="AS30" s="9">
        <v>1</v>
      </c>
      <c r="AT30" s="9"/>
      <c r="AU30" s="9"/>
      <c r="AV30" s="9" t="s">
        <v>112</v>
      </c>
      <c r="AW30" s="6"/>
    </row>
    <row r="31" spans="1:49" x14ac:dyDescent="0.2">
      <c r="A31" s="15">
        <v>29</v>
      </c>
      <c r="B31" s="9">
        <v>38.332615038379998</v>
      </c>
      <c r="C31" s="9">
        <f>-28.0324350390583</f>
        <v>-28.032435039058299</v>
      </c>
      <c r="D31" s="10">
        <v>43319</v>
      </c>
      <c r="E31" s="11">
        <v>0.46476851851851847</v>
      </c>
      <c r="F31" s="11">
        <v>0.46702546296296293</v>
      </c>
      <c r="G31" s="11">
        <f t="shared" si="0"/>
        <v>2.2569444444444642E-3</v>
      </c>
      <c r="H31" s="9" t="s">
        <v>63</v>
      </c>
      <c r="I31" s="9" t="s">
        <v>4</v>
      </c>
      <c r="J31" s="9" t="s">
        <v>65</v>
      </c>
      <c r="K31" s="9"/>
      <c r="L31" s="9"/>
      <c r="M31" s="9"/>
      <c r="N31" s="9"/>
      <c r="O31" s="9">
        <v>1</v>
      </c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>
        <v>5</v>
      </c>
      <c r="AC31" s="9">
        <v>5</v>
      </c>
      <c r="AD31" s="9"/>
      <c r="AE31" s="9"/>
      <c r="AF31" s="9"/>
      <c r="AG31" s="9"/>
      <c r="AH31" s="9"/>
      <c r="AI31" s="9">
        <v>1</v>
      </c>
      <c r="AJ31" s="9"/>
      <c r="AK31" s="9"/>
      <c r="AL31" s="9"/>
      <c r="AM31" s="9"/>
      <c r="AN31" s="9">
        <v>1</v>
      </c>
      <c r="AO31" s="9"/>
      <c r="AP31" s="9"/>
      <c r="AQ31" s="9"/>
      <c r="AR31" s="9"/>
      <c r="AS31" s="9">
        <v>1</v>
      </c>
      <c r="AT31" s="9"/>
      <c r="AU31" s="9"/>
      <c r="AV31" s="9" t="s">
        <v>112</v>
      </c>
      <c r="AW31" s="6"/>
    </row>
    <row r="32" spans="1:49" x14ac:dyDescent="0.2">
      <c r="A32" s="15">
        <v>30</v>
      </c>
      <c r="B32" s="9">
        <v>38.374576019123097</v>
      </c>
      <c r="C32" s="9">
        <f>-28.3584339916706</f>
        <v>-28.358433991670601</v>
      </c>
      <c r="D32" s="10">
        <v>43332</v>
      </c>
      <c r="E32" s="11">
        <v>0.6199189814814815</v>
      </c>
      <c r="F32" s="11"/>
      <c r="G32" s="11">
        <v>6.9444444444444447E-4</v>
      </c>
      <c r="H32" s="9" t="s">
        <v>66</v>
      </c>
      <c r="I32" s="9" t="s">
        <v>67</v>
      </c>
      <c r="J32" s="9" t="s">
        <v>67</v>
      </c>
      <c r="K32" s="9"/>
      <c r="L32" s="9"/>
      <c r="M32" s="9"/>
      <c r="N32" s="9"/>
      <c r="O32" s="9"/>
      <c r="P32" s="9">
        <v>1</v>
      </c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>
        <v>1</v>
      </c>
      <c r="AC32" s="9">
        <v>1</v>
      </c>
      <c r="AD32" s="9"/>
      <c r="AE32" s="9"/>
      <c r="AF32" s="9"/>
      <c r="AG32" s="9"/>
      <c r="AH32" s="9">
        <v>1</v>
      </c>
      <c r="AI32" s="9"/>
      <c r="AJ32" s="9"/>
      <c r="AK32" s="9"/>
      <c r="AL32" s="9">
        <v>1</v>
      </c>
      <c r="AM32" s="9"/>
      <c r="AN32" s="9"/>
      <c r="AO32" s="9"/>
      <c r="AP32" s="9"/>
      <c r="AQ32" s="9"/>
      <c r="AR32" s="9"/>
      <c r="AS32" s="9">
        <v>1</v>
      </c>
      <c r="AT32" s="9"/>
      <c r="AU32" s="9"/>
      <c r="AV32" s="9" t="s">
        <v>112</v>
      </c>
      <c r="AW32" s="6"/>
    </row>
    <row r="33" spans="1:49" x14ac:dyDescent="0.2">
      <c r="A33" s="15">
        <v>31</v>
      </c>
      <c r="B33" s="9">
        <v>38.383507020771503</v>
      </c>
      <c r="C33" s="9">
        <f>-28.2909070327878</f>
        <v>-28.2909070327878</v>
      </c>
      <c r="D33" s="10">
        <v>43340</v>
      </c>
      <c r="E33" s="11">
        <v>0.40634259259259259</v>
      </c>
      <c r="F33" s="11"/>
      <c r="G33" s="11">
        <v>6.9444444444444447E-4</v>
      </c>
      <c r="H33" s="9" t="s">
        <v>68</v>
      </c>
      <c r="I33" s="9" t="s">
        <v>69</v>
      </c>
      <c r="J33" s="9" t="s">
        <v>69</v>
      </c>
      <c r="K33" s="9"/>
      <c r="L33" s="9"/>
      <c r="M33" s="9"/>
      <c r="N33" s="9"/>
      <c r="O33" s="9"/>
      <c r="P33" s="9">
        <v>1</v>
      </c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>
        <v>5</v>
      </c>
      <c r="AC33" s="9">
        <v>5</v>
      </c>
      <c r="AD33" s="9"/>
      <c r="AE33" s="9"/>
      <c r="AF33" s="9"/>
      <c r="AG33" s="9"/>
      <c r="AH33" s="9"/>
      <c r="AI33" s="9">
        <v>1</v>
      </c>
      <c r="AJ33" s="9"/>
      <c r="AK33" s="9"/>
      <c r="AL33" s="9">
        <v>1</v>
      </c>
      <c r="AM33" s="9"/>
      <c r="AN33" s="9"/>
      <c r="AO33" s="9"/>
      <c r="AP33" s="9"/>
      <c r="AQ33" s="9"/>
      <c r="AR33" s="9"/>
      <c r="AS33" s="9">
        <v>1</v>
      </c>
      <c r="AT33" s="9"/>
      <c r="AU33" s="9"/>
      <c r="AV33" s="9" t="s">
        <v>112</v>
      </c>
      <c r="AW33" s="6"/>
    </row>
    <row r="34" spans="1:49" ht="17" thickBot="1" x14ac:dyDescent="0.25">
      <c r="A34" s="15">
        <v>32</v>
      </c>
      <c r="B34" s="17">
        <v>38.366794008761602</v>
      </c>
      <c r="C34" s="17">
        <f>-28.1730759982019</f>
        <v>-28.173075998201899</v>
      </c>
      <c r="D34" s="18">
        <v>43341</v>
      </c>
      <c r="E34" s="19">
        <v>0.48491898148148144</v>
      </c>
      <c r="F34" s="19"/>
      <c r="G34" s="19">
        <v>6.9444444444444447E-4</v>
      </c>
      <c r="H34" s="17" t="s">
        <v>70</v>
      </c>
      <c r="I34" s="17" t="s">
        <v>71</v>
      </c>
      <c r="J34" s="17" t="s">
        <v>71</v>
      </c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>
        <v>1</v>
      </c>
      <c r="AB34" s="17">
        <v>3</v>
      </c>
      <c r="AC34" s="17">
        <v>3</v>
      </c>
      <c r="AD34" s="17"/>
      <c r="AE34" s="17"/>
      <c r="AF34" s="17"/>
      <c r="AG34" s="17"/>
      <c r="AH34" s="17"/>
      <c r="AI34" s="17"/>
      <c r="AJ34" s="17"/>
      <c r="AK34" s="17">
        <v>1</v>
      </c>
      <c r="AL34" s="17"/>
      <c r="AM34" s="17"/>
      <c r="AN34" s="17"/>
      <c r="AO34" s="17">
        <v>1</v>
      </c>
      <c r="AP34" s="17"/>
      <c r="AQ34" s="17"/>
      <c r="AR34" s="17"/>
      <c r="AS34" s="17">
        <v>3</v>
      </c>
      <c r="AT34" s="17"/>
      <c r="AU34" s="17"/>
      <c r="AV34" s="17" t="s">
        <v>112</v>
      </c>
      <c r="AW34" s="20"/>
    </row>
  </sheetData>
  <mergeCells count="4">
    <mergeCell ref="K1:AA1"/>
    <mergeCell ref="AB1:AG1"/>
    <mergeCell ref="AH1:AK1"/>
    <mergeCell ref="AL1:AR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AB585-CFF0-B04E-9D84-D00B83259DBF}">
  <dimension ref="A1:I33"/>
  <sheetViews>
    <sheetView zoomScale="150" workbookViewId="0">
      <pane ySplit="1" topLeftCell="A27" activePane="bottomLeft" state="frozen"/>
      <selection activeCell="J1" sqref="J1"/>
      <selection pane="bottomLeft" activeCell="F2" sqref="F2"/>
    </sheetView>
  </sheetViews>
  <sheetFormatPr baseColWidth="10" defaultRowHeight="16" x14ac:dyDescent="0.2"/>
  <cols>
    <col min="9" max="9" width="15.5" bestFit="1" customWidth="1"/>
  </cols>
  <sheetData>
    <row r="1" spans="1:9" x14ac:dyDescent="0.2">
      <c r="A1" s="21" t="s">
        <v>72</v>
      </c>
      <c r="B1" s="22" t="s">
        <v>0</v>
      </c>
      <c r="C1" s="22" t="s">
        <v>1</v>
      </c>
      <c r="D1" s="22" t="s">
        <v>73</v>
      </c>
      <c r="E1" s="27" t="s">
        <v>144</v>
      </c>
      <c r="F1" s="22" t="s">
        <v>145</v>
      </c>
      <c r="G1" s="22" t="s">
        <v>146</v>
      </c>
      <c r="H1" s="22" t="s">
        <v>113</v>
      </c>
      <c r="I1" s="23" t="s">
        <v>2</v>
      </c>
    </row>
    <row r="2" spans="1:9" x14ac:dyDescent="0.2">
      <c r="A2" s="15">
        <v>1</v>
      </c>
      <c r="B2" s="9">
        <v>38.314079968258703</v>
      </c>
      <c r="C2" s="9">
        <f>-28.2488189823925</f>
        <v>-28.2488189823925</v>
      </c>
      <c r="D2" s="10">
        <v>41432</v>
      </c>
      <c r="E2" s="25" t="s">
        <v>114</v>
      </c>
      <c r="F2" s="25" t="s">
        <v>115</v>
      </c>
      <c r="G2" s="25" t="s">
        <v>116</v>
      </c>
      <c r="H2" s="11">
        <v>0.46988425925925931</v>
      </c>
      <c r="I2" s="6" t="s">
        <v>3</v>
      </c>
    </row>
    <row r="3" spans="1:9" x14ac:dyDescent="0.2">
      <c r="A3" s="15">
        <v>2</v>
      </c>
      <c r="B3" s="9">
        <v>38.328988021239603</v>
      </c>
      <c r="C3" s="9">
        <f>-28.3816609997302</f>
        <v>-28.381660999730201</v>
      </c>
      <c r="D3" s="10">
        <v>41447</v>
      </c>
      <c r="E3" s="25" t="s">
        <v>117</v>
      </c>
      <c r="F3" s="25" t="s">
        <v>115</v>
      </c>
      <c r="G3" s="25" t="s">
        <v>116</v>
      </c>
      <c r="H3" s="11">
        <v>0.5255671296296297</v>
      </c>
      <c r="I3" s="6" t="s">
        <v>7</v>
      </c>
    </row>
    <row r="4" spans="1:9" x14ac:dyDescent="0.2">
      <c r="A4" s="15">
        <v>3</v>
      </c>
      <c r="B4" s="9">
        <v>38.302070964127701</v>
      </c>
      <c r="C4" s="9">
        <f>-28.1737919803708</f>
        <v>-28.173791980370801</v>
      </c>
      <c r="D4" s="10">
        <v>41744</v>
      </c>
      <c r="E4" s="25" t="s">
        <v>118</v>
      </c>
      <c r="F4" s="25" t="s">
        <v>119</v>
      </c>
      <c r="G4" s="25" t="s">
        <v>120</v>
      </c>
      <c r="H4" s="11">
        <v>0.51761574074074079</v>
      </c>
      <c r="I4" s="6" t="s">
        <v>9</v>
      </c>
    </row>
    <row r="5" spans="1:9" x14ac:dyDescent="0.2">
      <c r="A5" s="15">
        <v>4</v>
      </c>
      <c r="B5" s="9">
        <v>38.2885139901191</v>
      </c>
      <c r="C5" s="9">
        <f>-28.3996960055083</f>
        <v>-28.3996960055083</v>
      </c>
      <c r="D5" s="10">
        <v>41793</v>
      </c>
      <c r="E5" s="25" t="s">
        <v>121</v>
      </c>
      <c r="F5" s="25" t="s">
        <v>115</v>
      </c>
      <c r="G5" s="25" t="s">
        <v>120</v>
      </c>
      <c r="H5" s="11">
        <v>0.48031249999999998</v>
      </c>
      <c r="I5" s="6" t="s">
        <v>11</v>
      </c>
    </row>
    <row r="6" spans="1:9" x14ac:dyDescent="0.2">
      <c r="A6" s="15">
        <v>5</v>
      </c>
      <c r="B6" s="9">
        <v>38.268389040604198</v>
      </c>
      <c r="C6" s="9">
        <f>-28.2548220176249</f>
        <v>-28.2548220176249</v>
      </c>
      <c r="D6" s="10">
        <v>41813</v>
      </c>
      <c r="E6" s="25" t="s">
        <v>122</v>
      </c>
      <c r="F6" s="25" t="s">
        <v>115</v>
      </c>
      <c r="G6" s="25" t="s">
        <v>120</v>
      </c>
      <c r="H6" s="11">
        <v>0.70090277777777776</v>
      </c>
      <c r="I6" s="6" t="s">
        <v>13</v>
      </c>
    </row>
    <row r="7" spans="1:9" x14ac:dyDescent="0.2">
      <c r="A7" s="15">
        <v>6</v>
      </c>
      <c r="B7" s="9">
        <v>38.336984021589103</v>
      </c>
      <c r="C7" s="9">
        <f>-28.2520989887416</f>
        <v>-28.252098988741601</v>
      </c>
      <c r="D7" s="10">
        <v>42222</v>
      </c>
      <c r="E7" s="25" t="s">
        <v>115</v>
      </c>
      <c r="F7" s="25" t="s">
        <v>123</v>
      </c>
      <c r="G7" s="25" t="s">
        <v>124</v>
      </c>
      <c r="H7" s="11">
        <v>0.48425925925925922</v>
      </c>
      <c r="I7" s="6" t="s">
        <v>16</v>
      </c>
    </row>
    <row r="8" spans="1:9" x14ac:dyDescent="0.2">
      <c r="A8" s="15">
        <v>7</v>
      </c>
      <c r="B8" s="9">
        <v>38.297922005876799</v>
      </c>
      <c r="C8" s="9">
        <f>-28.1614770367741</f>
        <v>-28.161477036774102</v>
      </c>
      <c r="D8" s="10">
        <v>42234</v>
      </c>
      <c r="E8" s="25" t="s">
        <v>125</v>
      </c>
      <c r="F8" s="25" t="s">
        <v>123</v>
      </c>
      <c r="G8" s="25" t="s">
        <v>124</v>
      </c>
      <c r="H8" s="11">
        <v>0.50805555555555559</v>
      </c>
      <c r="I8" s="6" t="s">
        <v>18</v>
      </c>
    </row>
    <row r="9" spans="1:9" x14ac:dyDescent="0.2">
      <c r="A9" s="15">
        <v>8</v>
      </c>
      <c r="B9" s="9">
        <v>38.353974977508102</v>
      </c>
      <c r="C9" s="9">
        <f>-28.2006480172276</f>
        <v>-28.2006480172276</v>
      </c>
      <c r="D9" s="10">
        <v>42564</v>
      </c>
      <c r="E9" s="25" t="s">
        <v>126</v>
      </c>
      <c r="F9" s="25" t="s">
        <v>114</v>
      </c>
      <c r="G9" s="25" t="s">
        <v>127</v>
      </c>
      <c r="H9" s="11">
        <v>0.43842592592592594</v>
      </c>
      <c r="I9" s="6" t="s">
        <v>20</v>
      </c>
    </row>
    <row r="10" spans="1:9" x14ac:dyDescent="0.2">
      <c r="A10" s="15">
        <v>9</v>
      </c>
      <c r="B10" s="9">
        <v>38.346873996779301</v>
      </c>
      <c r="C10" s="9">
        <f>-28.1215640064328</f>
        <v>-28.121564006432799</v>
      </c>
      <c r="D10" s="10">
        <v>42570</v>
      </c>
      <c r="E10" s="25" t="s">
        <v>128</v>
      </c>
      <c r="F10" s="25" t="s">
        <v>114</v>
      </c>
      <c r="G10" s="25" t="s">
        <v>127</v>
      </c>
      <c r="H10" s="11">
        <v>0.49049768518518522</v>
      </c>
      <c r="I10" s="6" t="s">
        <v>22</v>
      </c>
    </row>
    <row r="11" spans="1:9" x14ac:dyDescent="0.2">
      <c r="A11" s="15">
        <v>10</v>
      </c>
      <c r="B11" s="9">
        <v>38.380059041082802</v>
      </c>
      <c r="C11" s="9">
        <f>-28.1593000050634</f>
        <v>-28.1593000050634</v>
      </c>
      <c r="D11" s="10">
        <v>42573</v>
      </c>
      <c r="E11" s="25" t="s">
        <v>117</v>
      </c>
      <c r="F11" s="25" t="s">
        <v>114</v>
      </c>
      <c r="G11" s="25" t="s">
        <v>127</v>
      </c>
      <c r="H11" s="11">
        <v>0.47578703703703701</v>
      </c>
      <c r="I11" s="6" t="s">
        <v>24</v>
      </c>
    </row>
    <row r="12" spans="1:9" x14ac:dyDescent="0.2">
      <c r="A12" s="15">
        <v>11</v>
      </c>
      <c r="B12" s="9">
        <v>38.342472994700003</v>
      </c>
      <c r="C12" s="9">
        <f>-28.1824540067464</f>
        <v>-28.182454006746401</v>
      </c>
      <c r="D12" s="10">
        <v>42573</v>
      </c>
      <c r="E12" s="25" t="s">
        <v>117</v>
      </c>
      <c r="F12" s="25" t="s">
        <v>114</v>
      </c>
      <c r="G12" s="25" t="s">
        <v>127</v>
      </c>
      <c r="H12" s="11">
        <v>0.50326388888888884</v>
      </c>
      <c r="I12" s="6" t="s">
        <v>26</v>
      </c>
    </row>
    <row r="13" spans="1:9" x14ac:dyDescent="0.2">
      <c r="A13" s="15">
        <v>12</v>
      </c>
      <c r="B13" s="9">
        <v>38.333482984453397</v>
      </c>
      <c r="C13" s="9">
        <f>-28.2900919765233</f>
        <v>-28.2900919765233</v>
      </c>
      <c r="D13" s="10">
        <v>42576</v>
      </c>
      <c r="E13" s="25" t="s">
        <v>129</v>
      </c>
      <c r="F13" s="25" t="s">
        <v>114</v>
      </c>
      <c r="G13" s="25" t="s">
        <v>127</v>
      </c>
      <c r="H13" s="11">
        <v>0.72337962962962965</v>
      </c>
      <c r="I13" s="6" t="s">
        <v>28</v>
      </c>
    </row>
    <row r="14" spans="1:9" x14ac:dyDescent="0.2">
      <c r="A14" s="15">
        <v>13</v>
      </c>
      <c r="B14" s="9">
        <v>38.350524986162696</v>
      </c>
      <c r="C14" s="9">
        <f>-28.3146080374717</f>
        <v>-28.3146080374717</v>
      </c>
      <c r="D14" s="10">
        <v>42594</v>
      </c>
      <c r="E14" s="25" t="s">
        <v>130</v>
      </c>
      <c r="F14" s="25" t="s">
        <v>123</v>
      </c>
      <c r="G14" s="25" t="s">
        <v>127</v>
      </c>
      <c r="H14" s="11">
        <v>0.48790509259259257</v>
      </c>
      <c r="I14" s="6" t="s">
        <v>30</v>
      </c>
    </row>
    <row r="15" spans="1:9" x14ac:dyDescent="0.2">
      <c r="A15" s="15">
        <v>14</v>
      </c>
      <c r="B15" s="9">
        <v>38.232454983517499</v>
      </c>
      <c r="C15" s="9">
        <f>-28.2523999828845</f>
        <v>-28.252399982884501</v>
      </c>
      <c r="D15" s="10">
        <v>42605</v>
      </c>
      <c r="E15" s="25" t="s">
        <v>122</v>
      </c>
      <c r="F15" s="25" t="s">
        <v>123</v>
      </c>
      <c r="G15" s="25" t="s">
        <v>127</v>
      </c>
      <c r="H15" s="11">
        <v>0.67166666666666675</v>
      </c>
      <c r="I15" s="6" t="s">
        <v>32</v>
      </c>
    </row>
    <row r="16" spans="1:9" x14ac:dyDescent="0.2">
      <c r="A16" s="15">
        <v>15</v>
      </c>
      <c r="B16" s="9">
        <v>38.340328987687798</v>
      </c>
      <c r="C16" s="9">
        <f>-28.2013710401952</f>
        <v>-28.201371040195198</v>
      </c>
      <c r="D16" s="10">
        <v>42610</v>
      </c>
      <c r="E16" s="25" t="s">
        <v>131</v>
      </c>
      <c r="F16" s="25" t="s">
        <v>123</v>
      </c>
      <c r="G16" s="25" t="s">
        <v>127</v>
      </c>
      <c r="H16" s="11">
        <v>0.71302083333333333</v>
      </c>
      <c r="I16" s="6" t="s">
        <v>34</v>
      </c>
    </row>
    <row r="17" spans="1:9" x14ac:dyDescent="0.2">
      <c r="A17" s="15">
        <v>16</v>
      </c>
      <c r="B17" s="9">
        <v>38.379613040015101</v>
      </c>
      <c r="C17" s="9">
        <f>-28.1398020219057</f>
        <v>-28.139802021905702</v>
      </c>
      <c r="D17" s="10">
        <v>42614</v>
      </c>
      <c r="E17" s="25" t="s">
        <v>132</v>
      </c>
      <c r="F17" s="25" t="s">
        <v>133</v>
      </c>
      <c r="G17" s="25" t="s">
        <v>127</v>
      </c>
      <c r="H17" s="11">
        <v>0.45512731481481478</v>
      </c>
      <c r="I17" s="6" t="s">
        <v>36</v>
      </c>
    </row>
    <row r="18" spans="1:9" x14ac:dyDescent="0.2">
      <c r="A18" s="15">
        <v>17</v>
      </c>
      <c r="B18" s="9">
        <v>38.285612007603</v>
      </c>
      <c r="C18" s="9">
        <f>-27.9412520024925</f>
        <v>-27.941252002492501</v>
      </c>
      <c r="D18" s="10">
        <v>42614</v>
      </c>
      <c r="E18" s="25" t="s">
        <v>132</v>
      </c>
      <c r="F18" s="25" t="s">
        <v>133</v>
      </c>
      <c r="G18" s="25" t="s">
        <v>127</v>
      </c>
      <c r="H18" s="11">
        <v>0.62403935185185189</v>
      </c>
      <c r="I18" s="6" t="s">
        <v>38</v>
      </c>
    </row>
    <row r="19" spans="1:9" x14ac:dyDescent="0.2">
      <c r="A19" s="15">
        <v>18</v>
      </c>
      <c r="B19" s="9">
        <v>38.3432879671454</v>
      </c>
      <c r="C19" s="9">
        <f>-28.3457430358976</f>
        <v>-28.345743035897598</v>
      </c>
      <c r="D19" s="10">
        <v>42635</v>
      </c>
      <c r="E19" s="25" t="s">
        <v>117</v>
      </c>
      <c r="F19" s="25" t="s">
        <v>133</v>
      </c>
      <c r="G19" s="25" t="s">
        <v>127</v>
      </c>
      <c r="H19" s="11">
        <v>0.4987847222222222</v>
      </c>
      <c r="I19" s="6" t="s">
        <v>40</v>
      </c>
    </row>
    <row r="20" spans="1:9" x14ac:dyDescent="0.2">
      <c r="A20" s="15">
        <v>19</v>
      </c>
      <c r="B20" s="9">
        <v>38.3850659709423</v>
      </c>
      <c r="C20" s="9">
        <f>-28.400763021782</f>
        <v>-28.400763021782002</v>
      </c>
      <c r="D20" s="10">
        <v>42679</v>
      </c>
      <c r="E20" s="25" t="s">
        <v>134</v>
      </c>
      <c r="F20" s="25" t="s">
        <v>135</v>
      </c>
      <c r="G20" s="25" t="s">
        <v>127</v>
      </c>
      <c r="H20" s="11">
        <v>0.52249999999999996</v>
      </c>
      <c r="I20" s="6" t="s">
        <v>42</v>
      </c>
    </row>
    <row r="21" spans="1:9" x14ac:dyDescent="0.2">
      <c r="A21" s="15">
        <v>20</v>
      </c>
      <c r="B21" s="9">
        <v>38.282511960714999</v>
      </c>
      <c r="C21" s="9">
        <f>-28.4131959825754</f>
        <v>-28.413195982575399</v>
      </c>
      <c r="D21" s="10">
        <v>42917</v>
      </c>
      <c r="E21" s="25" t="s">
        <v>132</v>
      </c>
      <c r="F21" s="25" t="s">
        <v>114</v>
      </c>
      <c r="G21" s="25" t="s">
        <v>136</v>
      </c>
      <c r="H21" s="11">
        <v>0.63013888888888892</v>
      </c>
      <c r="I21" s="6" t="s">
        <v>44</v>
      </c>
    </row>
    <row r="22" spans="1:9" x14ac:dyDescent="0.2">
      <c r="A22" s="15">
        <v>21</v>
      </c>
      <c r="B22" s="9">
        <v>38.386452002450802</v>
      </c>
      <c r="C22" s="9">
        <f>-28.1402200274169</f>
        <v>-28.140220027416898</v>
      </c>
      <c r="D22" s="10">
        <v>42939</v>
      </c>
      <c r="E22" s="25" t="s">
        <v>122</v>
      </c>
      <c r="F22" s="25" t="s">
        <v>114</v>
      </c>
      <c r="G22" s="25" t="s">
        <v>136</v>
      </c>
      <c r="H22" s="11">
        <v>0.47127314814814819</v>
      </c>
      <c r="I22" s="6" t="s">
        <v>46</v>
      </c>
    </row>
    <row r="23" spans="1:9" x14ac:dyDescent="0.2">
      <c r="A23" s="15">
        <v>22</v>
      </c>
      <c r="B23" s="9">
        <v>38.382579982280703</v>
      </c>
      <c r="C23" s="9">
        <f>-28.3554490283131</f>
        <v>-28.3554490283131</v>
      </c>
      <c r="D23" s="10">
        <v>42970</v>
      </c>
      <c r="E23" s="25" t="s">
        <v>122</v>
      </c>
      <c r="F23" s="25" t="s">
        <v>123</v>
      </c>
      <c r="G23" s="25" t="s">
        <v>136</v>
      </c>
      <c r="H23" s="11">
        <v>0.4380324074074074</v>
      </c>
      <c r="I23" s="6" t="s">
        <v>48</v>
      </c>
    </row>
    <row r="24" spans="1:9" x14ac:dyDescent="0.2">
      <c r="A24" s="15">
        <v>23</v>
      </c>
      <c r="B24" s="9">
        <v>38.372796960175002</v>
      </c>
      <c r="C24" s="9">
        <f>-28.3435530122369</f>
        <v>-28.343553012236899</v>
      </c>
      <c r="D24" s="10">
        <v>42971</v>
      </c>
      <c r="E24" s="25" t="s">
        <v>137</v>
      </c>
      <c r="F24" s="25" t="s">
        <v>123</v>
      </c>
      <c r="G24" s="25" t="s">
        <v>136</v>
      </c>
      <c r="H24" s="11">
        <v>0.4332523148148148</v>
      </c>
      <c r="I24" s="6" t="s">
        <v>50</v>
      </c>
    </row>
    <row r="25" spans="1:9" x14ac:dyDescent="0.2">
      <c r="A25" s="15">
        <v>24</v>
      </c>
      <c r="B25" s="9">
        <v>38.3765160106122</v>
      </c>
      <c r="C25" s="9">
        <f>-28.3261240180581</f>
        <v>-28.326124018058099</v>
      </c>
      <c r="D25" s="10">
        <v>42972</v>
      </c>
      <c r="E25" s="25" t="s">
        <v>129</v>
      </c>
      <c r="F25" s="25" t="s">
        <v>123</v>
      </c>
      <c r="G25" s="25" t="s">
        <v>136</v>
      </c>
      <c r="H25" s="11">
        <v>0.38141203703703702</v>
      </c>
      <c r="I25" s="6" t="s">
        <v>52</v>
      </c>
    </row>
    <row r="26" spans="1:9" x14ac:dyDescent="0.2">
      <c r="A26" s="15">
        <v>25</v>
      </c>
      <c r="B26" s="9">
        <v>38.287382014095698</v>
      </c>
      <c r="C26" s="9">
        <f>-28.3067640010267</f>
        <v>-28.3067640010267</v>
      </c>
      <c r="D26" s="10">
        <v>43290</v>
      </c>
      <c r="E26" s="25" t="s">
        <v>133</v>
      </c>
      <c r="F26" s="25" t="s">
        <v>114</v>
      </c>
      <c r="G26" s="25" t="s">
        <v>138</v>
      </c>
      <c r="H26" s="11">
        <v>0.60116898148148146</v>
      </c>
      <c r="I26" s="6" t="s">
        <v>54</v>
      </c>
    </row>
    <row r="27" spans="1:9" x14ac:dyDescent="0.2">
      <c r="A27" s="15">
        <v>26</v>
      </c>
      <c r="B27" s="9">
        <v>38.369241021573501</v>
      </c>
      <c r="C27" s="9">
        <f>-28.3351670019328</f>
        <v>-28.335167001932799</v>
      </c>
      <c r="D27" s="10">
        <v>43297</v>
      </c>
      <c r="E27" s="25" t="s">
        <v>139</v>
      </c>
      <c r="F27" s="25" t="s">
        <v>114</v>
      </c>
      <c r="G27" s="25" t="s">
        <v>138</v>
      </c>
      <c r="H27" s="11">
        <v>0.59865740740740747</v>
      </c>
      <c r="I27" s="6" t="s">
        <v>56</v>
      </c>
    </row>
    <row r="28" spans="1:9" x14ac:dyDescent="0.2">
      <c r="A28" s="15">
        <v>27</v>
      </c>
      <c r="B28" s="9">
        <v>38.400867031887103</v>
      </c>
      <c r="C28" s="9">
        <f>-28.4740050137043</f>
        <v>-28.4740050137043</v>
      </c>
      <c r="D28" s="10">
        <v>43298</v>
      </c>
      <c r="E28" s="25" t="s">
        <v>140</v>
      </c>
      <c r="F28" s="25" t="s">
        <v>114</v>
      </c>
      <c r="G28" s="25" t="s">
        <v>138</v>
      </c>
      <c r="H28" s="11">
        <v>0.64777777777777779</v>
      </c>
      <c r="I28" s="6" t="s">
        <v>59</v>
      </c>
    </row>
    <row r="29" spans="1:9" x14ac:dyDescent="0.2">
      <c r="A29" s="15">
        <v>28</v>
      </c>
      <c r="B29" s="9">
        <v>38.380188960581997</v>
      </c>
      <c r="C29" s="9">
        <f>-28.3450309932231</f>
        <v>-28.345030993223101</v>
      </c>
      <c r="D29" s="10">
        <v>43311</v>
      </c>
      <c r="E29" s="25" t="s">
        <v>141</v>
      </c>
      <c r="F29" s="25" t="s">
        <v>114</v>
      </c>
      <c r="G29" s="25" t="s">
        <v>138</v>
      </c>
      <c r="H29" s="11">
        <v>0.39103009259259264</v>
      </c>
      <c r="I29" s="6" t="s">
        <v>61</v>
      </c>
    </row>
    <row r="30" spans="1:9" x14ac:dyDescent="0.2">
      <c r="A30" s="15">
        <v>29</v>
      </c>
      <c r="B30" s="9">
        <v>38.332615038379998</v>
      </c>
      <c r="C30" s="9">
        <f>-28.0324350390583</f>
        <v>-28.032435039058299</v>
      </c>
      <c r="D30" s="10">
        <v>43319</v>
      </c>
      <c r="E30" s="25" t="s">
        <v>114</v>
      </c>
      <c r="F30" s="25" t="s">
        <v>123</v>
      </c>
      <c r="G30" s="25" t="s">
        <v>138</v>
      </c>
      <c r="H30" s="11">
        <v>0.46476851851851847</v>
      </c>
      <c r="I30" s="6" t="s">
        <v>63</v>
      </c>
    </row>
    <row r="31" spans="1:9" x14ac:dyDescent="0.2">
      <c r="A31" s="15">
        <v>30</v>
      </c>
      <c r="B31" s="9">
        <v>38.374576019123097</v>
      </c>
      <c r="C31" s="9">
        <f>-28.3584339916706</f>
        <v>-28.358433991670601</v>
      </c>
      <c r="D31" s="10">
        <v>43332</v>
      </c>
      <c r="E31" s="25" t="s">
        <v>142</v>
      </c>
      <c r="F31" s="25" t="s">
        <v>123</v>
      </c>
      <c r="G31" s="25" t="s">
        <v>138</v>
      </c>
      <c r="H31" s="11">
        <v>0.6199189814814815</v>
      </c>
      <c r="I31" s="6" t="s">
        <v>66</v>
      </c>
    </row>
    <row r="32" spans="1:9" x14ac:dyDescent="0.2">
      <c r="A32" s="15">
        <v>31</v>
      </c>
      <c r="B32" s="9">
        <v>38.383507020771503</v>
      </c>
      <c r="C32" s="9">
        <f>-28.2909070327878</f>
        <v>-28.2909070327878</v>
      </c>
      <c r="D32" s="10">
        <v>43340</v>
      </c>
      <c r="E32" s="25" t="s">
        <v>131</v>
      </c>
      <c r="F32" s="25" t="s">
        <v>123</v>
      </c>
      <c r="G32" s="25" t="s">
        <v>138</v>
      </c>
      <c r="H32" s="11">
        <v>0.40634259259259259</v>
      </c>
      <c r="I32" s="6" t="s">
        <v>68</v>
      </c>
    </row>
    <row r="33" spans="1:9" ht="17" thickBot="1" x14ac:dyDescent="0.25">
      <c r="A33" s="16">
        <v>32</v>
      </c>
      <c r="B33" s="17">
        <v>38.366794008761602</v>
      </c>
      <c r="C33" s="17">
        <f>-28.1730759982019</f>
        <v>-28.173075998201899</v>
      </c>
      <c r="D33" s="18">
        <v>43341</v>
      </c>
      <c r="E33" s="26" t="s">
        <v>143</v>
      </c>
      <c r="F33" s="26" t="s">
        <v>123</v>
      </c>
      <c r="G33" s="26" t="s">
        <v>138</v>
      </c>
      <c r="H33" s="19">
        <v>0.48491898148148144</v>
      </c>
      <c r="I33" s="20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16CDD-2BCE-5341-8BC7-9F98D3819D3D}">
  <dimension ref="A1:AZ34"/>
  <sheetViews>
    <sheetView tabSelected="1" zoomScale="150" workbookViewId="0">
      <pane ySplit="2" topLeftCell="A3" activePane="bottomLeft" state="frozen"/>
      <selection activeCell="J1" sqref="J1"/>
      <selection pane="bottomLeft" activeCell="A35" sqref="A35:XFD179"/>
    </sheetView>
  </sheetViews>
  <sheetFormatPr baseColWidth="10" defaultRowHeight="16" x14ac:dyDescent="0.2"/>
  <cols>
    <col min="11" max="11" width="15.5" bestFit="1" customWidth="1"/>
    <col min="12" max="13" width="16.33203125" bestFit="1" customWidth="1"/>
    <col min="14" max="14" width="4" bestFit="1" customWidth="1"/>
    <col min="15" max="15" width="3.33203125" bestFit="1" customWidth="1"/>
    <col min="16" max="16" width="3.1640625" bestFit="1" customWidth="1"/>
    <col min="17" max="17" width="4.33203125" bestFit="1" customWidth="1"/>
    <col min="18" max="18" width="4.6640625" bestFit="1" customWidth="1"/>
    <col min="19" max="19" width="4.5" bestFit="1" customWidth="1"/>
    <col min="20" max="21" width="4.83203125" bestFit="1" customWidth="1"/>
    <col min="22" max="22" width="5.33203125" bestFit="1" customWidth="1"/>
    <col min="23" max="23" width="4.33203125" bestFit="1" customWidth="1"/>
    <col min="24" max="27" width="4.6640625" bestFit="1" customWidth="1"/>
    <col min="28" max="28" width="4.83203125" bestFit="1" customWidth="1"/>
    <col min="29" max="29" width="3.1640625" bestFit="1" customWidth="1"/>
    <col min="30" max="30" width="3.83203125" bestFit="1" customWidth="1"/>
    <col min="31" max="31" width="6" bestFit="1" customWidth="1"/>
    <col min="32" max="34" width="4.6640625" bestFit="1" customWidth="1"/>
    <col min="35" max="36" width="7.5" bestFit="1" customWidth="1"/>
    <col min="37" max="37" width="4.6640625" bestFit="1" customWidth="1"/>
    <col min="38" max="38" width="5.83203125" bestFit="1" customWidth="1"/>
    <col min="39" max="41" width="5.6640625" bestFit="1" customWidth="1"/>
    <col min="42" max="44" width="5.83203125" bestFit="1" customWidth="1"/>
    <col min="45" max="47" width="4.6640625" bestFit="1" customWidth="1"/>
    <col min="48" max="48" width="4.83203125" bestFit="1" customWidth="1"/>
    <col min="49" max="49" width="4.6640625" bestFit="1" customWidth="1"/>
    <col min="50" max="52" width="11" bestFit="1" customWidth="1"/>
  </cols>
  <sheetData>
    <row r="1" spans="1:52" ht="19" thickBot="1" x14ac:dyDescent="0.25">
      <c r="N1" s="28" t="s">
        <v>79</v>
      </c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 t="s">
        <v>80</v>
      </c>
      <c r="AF1" s="28"/>
      <c r="AG1" s="28"/>
      <c r="AH1" s="28"/>
      <c r="AI1" s="28"/>
      <c r="AJ1" s="28"/>
      <c r="AK1" s="28" t="s">
        <v>81</v>
      </c>
      <c r="AL1" s="28"/>
      <c r="AM1" s="28"/>
      <c r="AN1" s="28"/>
      <c r="AO1" s="28" t="s">
        <v>82</v>
      </c>
      <c r="AP1" s="28"/>
      <c r="AQ1" s="28"/>
      <c r="AR1" s="28"/>
      <c r="AS1" s="28"/>
      <c r="AT1" s="28"/>
      <c r="AU1" s="28"/>
      <c r="AV1" s="7"/>
      <c r="AW1" s="7"/>
      <c r="AX1" s="7"/>
      <c r="AY1" s="7"/>
      <c r="AZ1" s="8"/>
    </row>
    <row r="2" spans="1:52" ht="18" x14ac:dyDescent="0.2">
      <c r="A2" s="12" t="s">
        <v>72</v>
      </c>
      <c r="B2" s="4" t="s">
        <v>0</v>
      </c>
      <c r="C2" s="4" t="s">
        <v>1</v>
      </c>
      <c r="D2" s="4" t="s">
        <v>73</v>
      </c>
      <c r="E2" s="24" t="s">
        <v>144</v>
      </c>
      <c r="F2" s="4" t="s">
        <v>145</v>
      </c>
      <c r="G2" s="4" t="s">
        <v>146</v>
      </c>
      <c r="H2" s="4" t="s">
        <v>76</v>
      </c>
      <c r="I2" s="4" t="s">
        <v>77</v>
      </c>
      <c r="J2" s="4" t="s">
        <v>78</v>
      </c>
      <c r="K2" s="4" t="s">
        <v>2</v>
      </c>
      <c r="L2" s="4" t="s">
        <v>75</v>
      </c>
      <c r="M2" s="4"/>
      <c r="N2" s="13" t="s">
        <v>83</v>
      </c>
      <c r="O2" s="3" t="s">
        <v>4</v>
      </c>
      <c r="P2" s="3" t="s">
        <v>84</v>
      </c>
      <c r="Q2" s="3" t="s">
        <v>85</v>
      </c>
      <c r="R2" s="3" t="s">
        <v>86</v>
      </c>
      <c r="S2" s="3" t="s">
        <v>87</v>
      </c>
      <c r="T2" s="3" t="s">
        <v>88</v>
      </c>
      <c r="U2" s="3" t="s">
        <v>89</v>
      </c>
      <c r="V2" s="3" t="s">
        <v>90</v>
      </c>
      <c r="W2" s="3" t="s">
        <v>91</v>
      </c>
      <c r="X2" s="3" t="s">
        <v>92</v>
      </c>
      <c r="Y2" s="3" t="s">
        <v>93</v>
      </c>
      <c r="Z2" s="3" t="s">
        <v>94</v>
      </c>
      <c r="AA2" s="3" t="s">
        <v>95</v>
      </c>
      <c r="AB2" s="3" t="s">
        <v>96</v>
      </c>
      <c r="AC2" s="3" t="s">
        <v>97</v>
      </c>
      <c r="AD2" s="3" t="s">
        <v>98</v>
      </c>
      <c r="AE2" s="3" t="s">
        <v>99</v>
      </c>
      <c r="AF2" s="3" t="s">
        <v>100</v>
      </c>
      <c r="AG2" s="3" t="s">
        <v>101</v>
      </c>
      <c r="AH2" s="3" t="s">
        <v>102</v>
      </c>
      <c r="AI2" s="3" t="s">
        <v>103</v>
      </c>
      <c r="AJ2" s="3" t="s">
        <v>98</v>
      </c>
      <c r="AK2" s="3" t="s">
        <v>104</v>
      </c>
      <c r="AL2" s="14" t="s">
        <v>105</v>
      </c>
      <c r="AM2" s="3" t="s">
        <v>106</v>
      </c>
      <c r="AN2" s="3" t="s">
        <v>107</v>
      </c>
      <c r="AO2" s="3">
        <v>0</v>
      </c>
      <c r="AP2" s="3">
        <v>1</v>
      </c>
      <c r="AQ2" s="3">
        <v>2</v>
      </c>
      <c r="AR2" s="3">
        <v>3</v>
      </c>
      <c r="AS2" s="3">
        <v>4</v>
      </c>
      <c r="AT2" s="3">
        <v>5</v>
      </c>
      <c r="AU2" s="3" t="s">
        <v>98</v>
      </c>
      <c r="AV2" s="3" t="s">
        <v>108</v>
      </c>
      <c r="AW2" s="3" t="s">
        <v>109</v>
      </c>
      <c r="AX2" s="3" t="s">
        <v>110</v>
      </c>
      <c r="AY2" s="3" t="s">
        <v>111</v>
      </c>
      <c r="AZ2" s="5"/>
    </row>
    <row r="3" spans="1:52" x14ac:dyDescent="0.2">
      <c r="A3" s="15">
        <v>1</v>
      </c>
      <c r="B3" s="9">
        <v>38.314079968258703</v>
      </c>
      <c r="C3" s="9">
        <f>-28.2488189823925</f>
        <v>-28.2488189823925</v>
      </c>
      <c r="D3" s="10">
        <v>41432</v>
      </c>
      <c r="E3" s="25" t="s">
        <v>114</v>
      </c>
      <c r="F3" s="25" t="s">
        <v>115</v>
      </c>
      <c r="G3" s="25" t="s">
        <v>116</v>
      </c>
      <c r="H3" s="11">
        <v>0.46988425925925931</v>
      </c>
      <c r="I3" s="11">
        <v>0.48327546296296298</v>
      </c>
      <c r="J3" s="11">
        <f>I3-H3</f>
        <v>1.3391203703703669E-2</v>
      </c>
      <c r="K3" s="9" t="s">
        <v>3</v>
      </c>
      <c r="L3" s="9" t="s">
        <v>4</v>
      </c>
      <c r="M3" s="9" t="s">
        <v>6</v>
      </c>
      <c r="N3" s="9"/>
      <c r="O3" s="9"/>
      <c r="P3" s="9"/>
      <c r="Q3" s="9"/>
      <c r="R3" s="9"/>
      <c r="S3" s="9">
        <v>1</v>
      </c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>
        <v>4</v>
      </c>
      <c r="AF3" s="9">
        <v>4</v>
      </c>
      <c r="AG3" s="9"/>
      <c r="AH3" s="9"/>
      <c r="AI3" s="9"/>
      <c r="AJ3" s="9"/>
      <c r="AK3" s="9"/>
      <c r="AL3" s="9"/>
      <c r="AM3" s="9"/>
      <c r="AN3" s="9">
        <v>1</v>
      </c>
      <c r="AO3" s="9"/>
      <c r="AP3" s="9"/>
      <c r="AQ3" s="9"/>
      <c r="AR3" s="9"/>
      <c r="AS3" s="9"/>
      <c r="AT3" s="9"/>
      <c r="AU3" s="9">
        <v>1</v>
      </c>
      <c r="AV3" s="9" t="s">
        <v>98</v>
      </c>
      <c r="AW3" s="9"/>
      <c r="AX3" s="9"/>
      <c r="AY3" s="9" t="s">
        <v>112</v>
      </c>
      <c r="AZ3" s="6"/>
    </row>
    <row r="4" spans="1:52" x14ac:dyDescent="0.2">
      <c r="A4" s="15">
        <v>2</v>
      </c>
      <c r="B4" s="9">
        <v>38.328988021239603</v>
      </c>
      <c r="C4" s="9">
        <f>-28.3816609997302</f>
        <v>-28.381660999730201</v>
      </c>
      <c r="D4" s="10">
        <v>41447</v>
      </c>
      <c r="E4" s="25" t="s">
        <v>117</v>
      </c>
      <c r="F4" s="25" t="s">
        <v>115</v>
      </c>
      <c r="G4" s="25" t="s">
        <v>116</v>
      </c>
      <c r="H4" s="11">
        <v>0.5255671296296297</v>
      </c>
      <c r="I4" s="11"/>
      <c r="J4" s="11">
        <v>6.9444444444444447E-4</v>
      </c>
      <c r="K4" s="9" t="s">
        <v>7</v>
      </c>
      <c r="L4" s="9" t="s">
        <v>8</v>
      </c>
      <c r="M4" s="9" t="s">
        <v>8</v>
      </c>
      <c r="N4" s="9"/>
      <c r="O4" s="9"/>
      <c r="P4" s="9"/>
      <c r="Q4" s="9"/>
      <c r="R4" s="9"/>
      <c r="S4" s="9">
        <v>1</v>
      </c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>
        <v>2</v>
      </c>
      <c r="AF4" s="9">
        <v>2</v>
      </c>
      <c r="AG4" s="9"/>
      <c r="AH4" s="9"/>
      <c r="AI4" s="9"/>
      <c r="AJ4" s="9"/>
      <c r="AK4" s="9"/>
      <c r="AL4" s="9"/>
      <c r="AM4" s="9"/>
      <c r="AN4" s="9">
        <v>1</v>
      </c>
      <c r="AO4" s="9"/>
      <c r="AP4" s="9"/>
      <c r="AQ4" s="9"/>
      <c r="AR4" s="9"/>
      <c r="AS4" s="9"/>
      <c r="AT4" s="9"/>
      <c r="AU4" s="9">
        <v>1</v>
      </c>
      <c r="AV4" s="9" t="s">
        <v>98</v>
      </c>
      <c r="AW4" s="9"/>
      <c r="AX4" s="9"/>
      <c r="AY4" s="9" t="s">
        <v>112</v>
      </c>
      <c r="AZ4" s="6"/>
    </row>
    <row r="5" spans="1:52" x14ac:dyDescent="0.2">
      <c r="A5" s="15">
        <v>3</v>
      </c>
      <c r="B5" s="9">
        <v>38.302070964127701</v>
      </c>
      <c r="C5" s="9">
        <f>-28.1737919803708</f>
        <v>-28.173791980370801</v>
      </c>
      <c r="D5" s="10">
        <v>41744</v>
      </c>
      <c r="E5" s="25" t="s">
        <v>118</v>
      </c>
      <c r="F5" s="25" t="s">
        <v>119</v>
      </c>
      <c r="G5" s="25" t="s">
        <v>120</v>
      </c>
      <c r="H5" s="11">
        <v>0.51761574074074079</v>
      </c>
      <c r="I5" s="11"/>
      <c r="J5" s="11">
        <v>6.9444444444444447E-4</v>
      </c>
      <c r="K5" s="9" t="s">
        <v>9</v>
      </c>
      <c r="L5" s="9" t="s">
        <v>10</v>
      </c>
      <c r="M5" s="9" t="s">
        <v>10</v>
      </c>
      <c r="N5" s="9">
        <v>1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>
        <v>2</v>
      </c>
      <c r="AF5" s="9">
        <v>2</v>
      </c>
      <c r="AG5" s="9"/>
      <c r="AH5" s="9"/>
      <c r="AI5" s="9"/>
      <c r="AJ5" s="9"/>
      <c r="AK5" s="9"/>
      <c r="AL5" s="9"/>
      <c r="AM5" s="9"/>
      <c r="AN5" s="9">
        <v>1</v>
      </c>
      <c r="AO5" s="9"/>
      <c r="AP5" s="9"/>
      <c r="AQ5" s="9"/>
      <c r="AR5" s="9"/>
      <c r="AS5" s="9"/>
      <c r="AT5" s="9"/>
      <c r="AU5" s="9">
        <v>1</v>
      </c>
      <c r="AV5" s="9" t="s">
        <v>98</v>
      </c>
      <c r="AW5" s="9"/>
      <c r="AX5" s="9"/>
      <c r="AY5" s="9" t="s">
        <v>112</v>
      </c>
      <c r="AZ5" s="6"/>
    </row>
    <row r="6" spans="1:52" x14ac:dyDescent="0.2">
      <c r="A6" s="15">
        <v>4</v>
      </c>
      <c r="B6" s="9">
        <v>38.2885139901191</v>
      </c>
      <c r="C6" s="9">
        <f>-28.3996960055083</f>
        <v>-28.3996960055083</v>
      </c>
      <c r="D6" s="10">
        <v>41793</v>
      </c>
      <c r="E6" s="25" t="s">
        <v>121</v>
      </c>
      <c r="F6" s="25" t="s">
        <v>115</v>
      </c>
      <c r="G6" s="25" t="s">
        <v>120</v>
      </c>
      <c r="H6" s="11">
        <v>0.48031249999999998</v>
      </c>
      <c r="I6" s="11"/>
      <c r="J6" s="11">
        <v>6.9444444444444447E-4</v>
      </c>
      <c r="K6" s="9" t="s">
        <v>11</v>
      </c>
      <c r="L6" s="9" t="s">
        <v>12</v>
      </c>
      <c r="M6" s="9" t="s">
        <v>12</v>
      </c>
      <c r="N6" s="9"/>
      <c r="O6" s="9"/>
      <c r="P6" s="9"/>
      <c r="Q6" s="9"/>
      <c r="R6" s="9"/>
      <c r="S6" s="9">
        <v>1</v>
      </c>
      <c r="T6" s="9"/>
      <c r="U6" s="9"/>
      <c r="V6" s="9"/>
      <c r="W6" s="9"/>
      <c r="X6" s="9"/>
      <c r="Y6" s="9"/>
      <c r="Z6" s="9"/>
      <c r="AA6" s="9"/>
      <c r="AB6" s="9"/>
      <c r="AC6" s="9">
        <v>1</v>
      </c>
      <c r="AD6" s="9"/>
      <c r="AE6" s="9">
        <v>1</v>
      </c>
      <c r="AF6" s="9">
        <v>1</v>
      </c>
      <c r="AG6" s="9"/>
      <c r="AH6" s="9"/>
      <c r="AI6" s="9"/>
      <c r="AJ6" s="9"/>
      <c r="AK6" s="9"/>
      <c r="AL6" s="9">
        <v>1</v>
      </c>
      <c r="AM6" s="9"/>
      <c r="AN6" s="9"/>
      <c r="AO6" s="9">
        <v>1</v>
      </c>
      <c r="AP6" s="9"/>
      <c r="AQ6" s="9"/>
      <c r="AR6" s="9"/>
      <c r="AS6" s="9"/>
      <c r="AT6" s="9"/>
      <c r="AU6" s="9"/>
      <c r="AV6" s="9" t="s">
        <v>98</v>
      </c>
      <c r="AW6" s="9"/>
      <c r="AX6" s="9"/>
      <c r="AY6" s="9" t="s">
        <v>112</v>
      </c>
      <c r="AZ6" s="6"/>
    </row>
    <row r="7" spans="1:52" x14ac:dyDescent="0.2">
      <c r="A7" s="15">
        <v>5</v>
      </c>
      <c r="B7" s="9">
        <v>38.268389040604198</v>
      </c>
      <c r="C7" s="9">
        <f>-28.2548220176249</f>
        <v>-28.2548220176249</v>
      </c>
      <c r="D7" s="10">
        <v>41813</v>
      </c>
      <c r="E7" s="25" t="s">
        <v>122</v>
      </c>
      <c r="F7" s="25" t="s">
        <v>115</v>
      </c>
      <c r="G7" s="25" t="s">
        <v>120</v>
      </c>
      <c r="H7" s="11">
        <v>0.70090277777777776</v>
      </c>
      <c r="I7" s="11">
        <v>0.70961805555555557</v>
      </c>
      <c r="J7" s="11">
        <f t="shared" ref="J7:J31" si="0">I7-H7</f>
        <v>8.7152777777778079E-3</v>
      </c>
      <c r="K7" s="9" t="s">
        <v>13</v>
      </c>
      <c r="L7" s="9" t="s">
        <v>4</v>
      </c>
      <c r="M7" s="9" t="s">
        <v>15</v>
      </c>
      <c r="N7" s="9"/>
      <c r="O7" s="9"/>
      <c r="P7" s="9"/>
      <c r="Q7" s="9">
        <v>1</v>
      </c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>
        <v>1</v>
      </c>
      <c r="AF7" s="9">
        <v>1</v>
      </c>
      <c r="AG7" s="9"/>
      <c r="AH7" s="9"/>
      <c r="AI7" s="9"/>
      <c r="AJ7" s="9"/>
      <c r="AK7" s="9"/>
      <c r="AL7" s="9"/>
      <c r="AM7" s="9">
        <v>1</v>
      </c>
      <c r="AN7" s="9"/>
      <c r="AO7" s="9"/>
      <c r="AP7" s="9">
        <v>1</v>
      </c>
      <c r="AQ7" s="9"/>
      <c r="AR7" s="9"/>
      <c r="AS7" s="9"/>
      <c r="AT7" s="9"/>
      <c r="AU7" s="9"/>
      <c r="AV7" s="9" t="s">
        <v>98</v>
      </c>
      <c r="AW7" s="9"/>
      <c r="AX7" s="9"/>
      <c r="AY7" s="9" t="s">
        <v>112</v>
      </c>
      <c r="AZ7" s="6"/>
    </row>
    <row r="8" spans="1:52" x14ac:dyDescent="0.2">
      <c r="A8" s="15">
        <v>6</v>
      </c>
      <c r="B8" s="9">
        <v>38.336984021589103</v>
      </c>
      <c r="C8" s="9">
        <f>-28.2520989887416</f>
        <v>-28.252098988741601</v>
      </c>
      <c r="D8" s="10">
        <v>42222</v>
      </c>
      <c r="E8" s="25" t="s">
        <v>115</v>
      </c>
      <c r="F8" s="25" t="s">
        <v>123</v>
      </c>
      <c r="G8" s="25" t="s">
        <v>124</v>
      </c>
      <c r="H8" s="11">
        <v>0.48425925925925922</v>
      </c>
      <c r="I8" s="11"/>
      <c r="J8" s="11">
        <v>6.9444444444444447E-4</v>
      </c>
      <c r="K8" s="9" t="s">
        <v>16</v>
      </c>
      <c r="L8" s="9" t="s">
        <v>17</v>
      </c>
      <c r="M8" s="9" t="s">
        <v>17</v>
      </c>
      <c r="N8" s="9"/>
      <c r="O8" s="9"/>
      <c r="P8" s="9"/>
      <c r="Q8" s="9">
        <v>1</v>
      </c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>
        <v>4</v>
      </c>
      <c r="AF8" s="9">
        <v>4</v>
      </c>
      <c r="AG8" s="9"/>
      <c r="AH8" s="9"/>
      <c r="AI8" s="9"/>
      <c r="AJ8" s="9"/>
      <c r="AK8" s="9"/>
      <c r="AL8" s="9"/>
      <c r="AM8" s="9">
        <v>1</v>
      </c>
      <c r="AN8" s="9"/>
      <c r="AO8" s="9"/>
      <c r="AP8" s="9"/>
      <c r="AQ8" s="9"/>
      <c r="AR8" s="9">
        <v>1</v>
      </c>
      <c r="AS8" s="9"/>
      <c r="AT8" s="9"/>
      <c r="AU8" s="9"/>
      <c r="AV8" s="9" t="s">
        <v>98</v>
      </c>
      <c r="AW8" s="9"/>
      <c r="AX8" s="9"/>
      <c r="AY8" s="9" t="s">
        <v>112</v>
      </c>
      <c r="AZ8" s="6"/>
    </row>
    <row r="9" spans="1:52" x14ac:dyDescent="0.2">
      <c r="A9" s="15">
        <v>7</v>
      </c>
      <c r="B9" s="9">
        <v>38.297922005876799</v>
      </c>
      <c r="C9" s="9">
        <f>-28.1614770367741</f>
        <v>-28.161477036774102</v>
      </c>
      <c r="D9" s="10">
        <v>42234</v>
      </c>
      <c r="E9" s="25" t="s">
        <v>125</v>
      </c>
      <c r="F9" s="25" t="s">
        <v>123</v>
      </c>
      <c r="G9" s="25" t="s">
        <v>124</v>
      </c>
      <c r="H9" s="11">
        <v>0.50805555555555559</v>
      </c>
      <c r="I9" s="11"/>
      <c r="J9" s="11">
        <v>6.9444444444444447E-4</v>
      </c>
      <c r="K9" s="9" t="s">
        <v>18</v>
      </c>
      <c r="L9" s="9" t="s">
        <v>19</v>
      </c>
      <c r="M9" s="9" t="s">
        <v>19</v>
      </c>
      <c r="N9" s="9"/>
      <c r="O9" s="9"/>
      <c r="P9" s="9"/>
      <c r="Q9" s="9"/>
      <c r="R9" s="9"/>
      <c r="S9" s="9">
        <v>1</v>
      </c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>
        <v>5</v>
      </c>
      <c r="AF9" s="9">
        <v>5</v>
      </c>
      <c r="AG9" s="9"/>
      <c r="AH9" s="9"/>
      <c r="AI9" s="9"/>
      <c r="AJ9" s="9"/>
      <c r="AK9" s="9"/>
      <c r="AL9" s="9">
        <v>1</v>
      </c>
      <c r="AM9" s="9"/>
      <c r="AN9" s="9"/>
      <c r="AO9" s="9"/>
      <c r="AP9" s="9">
        <v>1</v>
      </c>
      <c r="AQ9" s="9"/>
      <c r="AR9" s="9"/>
      <c r="AS9" s="9"/>
      <c r="AT9" s="9"/>
      <c r="AU9" s="9"/>
      <c r="AV9" s="9">
        <v>4</v>
      </c>
      <c r="AW9" s="9"/>
      <c r="AX9" s="9"/>
      <c r="AY9" s="9" t="s">
        <v>112</v>
      </c>
      <c r="AZ9" s="6"/>
    </row>
    <row r="10" spans="1:52" x14ac:dyDescent="0.2">
      <c r="A10" s="15">
        <v>8</v>
      </c>
      <c r="B10" s="9">
        <v>38.353974977508102</v>
      </c>
      <c r="C10" s="9">
        <f>-28.2006480172276</f>
        <v>-28.2006480172276</v>
      </c>
      <c r="D10" s="10">
        <v>42564</v>
      </c>
      <c r="E10" s="25" t="s">
        <v>126</v>
      </c>
      <c r="F10" s="25" t="s">
        <v>114</v>
      </c>
      <c r="G10" s="25" t="s">
        <v>127</v>
      </c>
      <c r="H10" s="11">
        <v>0.43842592592592594</v>
      </c>
      <c r="I10" s="11"/>
      <c r="J10" s="11">
        <v>6.9444444444444447E-4</v>
      </c>
      <c r="K10" s="9" t="s">
        <v>20</v>
      </c>
      <c r="L10" s="9" t="s">
        <v>21</v>
      </c>
      <c r="M10" s="9" t="s">
        <v>21</v>
      </c>
      <c r="N10" s="9"/>
      <c r="O10" s="9">
        <v>1</v>
      </c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>
        <v>1</v>
      </c>
      <c r="AD10" s="9"/>
      <c r="AE10" s="9">
        <v>3</v>
      </c>
      <c r="AF10" s="9">
        <v>3</v>
      </c>
      <c r="AG10" s="9"/>
      <c r="AH10" s="9"/>
      <c r="AI10" s="9"/>
      <c r="AJ10" s="9"/>
      <c r="AK10" s="9"/>
      <c r="AL10" s="9">
        <v>1</v>
      </c>
      <c r="AM10" s="9"/>
      <c r="AN10" s="9"/>
      <c r="AO10" s="9">
        <v>1</v>
      </c>
      <c r="AP10" s="9"/>
      <c r="AQ10" s="9"/>
      <c r="AR10" s="9"/>
      <c r="AS10" s="9"/>
      <c r="AT10" s="9"/>
      <c r="AU10" s="9"/>
      <c r="AV10" s="9">
        <v>4</v>
      </c>
      <c r="AW10" s="9"/>
      <c r="AX10" s="9"/>
      <c r="AY10" s="9" t="s">
        <v>112</v>
      </c>
      <c r="AZ10" s="6"/>
    </row>
    <row r="11" spans="1:52" x14ac:dyDescent="0.2">
      <c r="A11" s="15">
        <v>9</v>
      </c>
      <c r="B11" s="9">
        <v>38.346873996779301</v>
      </c>
      <c r="C11" s="9">
        <f>-28.1215640064328</f>
        <v>-28.121564006432799</v>
      </c>
      <c r="D11" s="10">
        <v>42570</v>
      </c>
      <c r="E11" s="25" t="s">
        <v>128</v>
      </c>
      <c r="F11" s="25" t="s">
        <v>114</v>
      </c>
      <c r="G11" s="25" t="s">
        <v>127</v>
      </c>
      <c r="H11" s="11">
        <v>0.49049768518518522</v>
      </c>
      <c r="I11" s="11"/>
      <c r="J11" s="11">
        <v>6.9444444444444447E-4</v>
      </c>
      <c r="K11" s="9" t="s">
        <v>22</v>
      </c>
      <c r="L11" s="9" t="s">
        <v>23</v>
      </c>
      <c r="M11" s="9" t="s">
        <v>23</v>
      </c>
      <c r="N11" s="9"/>
      <c r="O11" s="9">
        <v>1</v>
      </c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>
        <v>1</v>
      </c>
      <c r="AF11" s="9">
        <v>1</v>
      </c>
      <c r="AG11" s="9"/>
      <c r="AH11" s="9"/>
      <c r="AI11" s="9"/>
      <c r="AJ11" s="9"/>
      <c r="AK11" s="9"/>
      <c r="AL11" s="9">
        <v>1</v>
      </c>
      <c r="AM11" s="9"/>
      <c r="AN11" s="9"/>
      <c r="AO11" s="9"/>
      <c r="AP11" s="9">
        <v>1</v>
      </c>
      <c r="AQ11" s="9"/>
      <c r="AR11" s="9"/>
      <c r="AS11" s="9"/>
      <c r="AT11" s="9"/>
      <c r="AU11" s="9"/>
      <c r="AV11" s="9">
        <v>1</v>
      </c>
      <c r="AW11" s="9"/>
      <c r="AX11" s="9"/>
      <c r="AY11" s="9" t="s">
        <v>112</v>
      </c>
      <c r="AZ11" s="6"/>
    </row>
    <row r="12" spans="1:52" x14ac:dyDescent="0.2">
      <c r="A12" s="15">
        <v>10</v>
      </c>
      <c r="B12" s="9">
        <v>38.380059041082802</v>
      </c>
      <c r="C12" s="9">
        <f>-28.1593000050634</f>
        <v>-28.1593000050634</v>
      </c>
      <c r="D12" s="10">
        <v>42573</v>
      </c>
      <c r="E12" s="25" t="s">
        <v>117</v>
      </c>
      <c r="F12" s="25" t="s">
        <v>114</v>
      </c>
      <c r="G12" s="25" t="s">
        <v>127</v>
      </c>
      <c r="H12" s="11">
        <v>0.47578703703703701</v>
      </c>
      <c r="I12" s="11"/>
      <c r="J12" s="11">
        <v>6.9444444444444447E-4</v>
      </c>
      <c r="K12" s="9" t="s">
        <v>24</v>
      </c>
      <c r="L12" s="9" t="s">
        <v>25</v>
      </c>
      <c r="M12" s="9" t="s">
        <v>25</v>
      </c>
      <c r="N12" s="9"/>
      <c r="O12" s="9">
        <v>1</v>
      </c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>
        <v>5</v>
      </c>
      <c r="AF12" s="9">
        <v>3</v>
      </c>
      <c r="AG12" s="9">
        <v>2</v>
      </c>
      <c r="AH12" s="9"/>
      <c r="AI12" s="9"/>
      <c r="AJ12" s="9"/>
      <c r="AK12" s="9"/>
      <c r="AL12" s="9">
        <v>1</v>
      </c>
      <c r="AM12" s="9"/>
      <c r="AN12" s="9"/>
      <c r="AO12" s="9"/>
      <c r="AP12" s="9">
        <v>1</v>
      </c>
      <c r="AQ12" s="9"/>
      <c r="AR12" s="9"/>
      <c r="AS12" s="9"/>
      <c r="AT12" s="9"/>
      <c r="AU12" s="9"/>
      <c r="AV12" s="9">
        <v>2</v>
      </c>
      <c r="AW12" s="9"/>
      <c r="AX12" s="9"/>
      <c r="AY12" s="9" t="s">
        <v>112</v>
      </c>
      <c r="AZ12" s="6"/>
    </row>
    <row r="13" spans="1:52" x14ac:dyDescent="0.2">
      <c r="A13" s="15">
        <v>11</v>
      </c>
      <c r="B13" s="9">
        <v>38.342472994700003</v>
      </c>
      <c r="C13" s="9">
        <f>-28.1824540067464</f>
        <v>-28.182454006746401</v>
      </c>
      <c r="D13" s="10">
        <v>42573</v>
      </c>
      <c r="E13" s="25" t="s">
        <v>117</v>
      </c>
      <c r="F13" s="25" t="s">
        <v>114</v>
      </c>
      <c r="G13" s="25" t="s">
        <v>127</v>
      </c>
      <c r="H13" s="11">
        <v>0.50326388888888884</v>
      </c>
      <c r="I13" s="11"/>
      <c r="J13" s="11">
        <v>6.9444444444444447E-4</v>
      </c>
      <c r="K13" s="9" t="s">
        <v>26</v>
      </c>
      <c r="L13" s="9" t="s">
        <v>27</v>
      </c>
      <c r="M13" s="9" t="s">
        <v>27</v>
      </c>
      <c r="N13" s="9"/>
      <c r="O13" s="9"/>
      <c r="P13" s="9"/>
      <c r="Q13" s="9"/>
      <c r="R13" s="9"/>
      <c r="S13" s="9">
        <v>1</v>
      </c>
      <c r="T13" s="9"/>
      <c r="U13" s="9"/>
      <c r="V13" s="9"/>
      <c r="W13" s="9"/>
      <c r="X13" s="9"/>
      <c r="Y13" s="9"/>
      <c r="Z13" s="9"/>
      <c r="AA13" s="9"/>
      <c r="AB13" s="9"/>
      <c r="AC13" s="9">
        <v>1</v>
      </c>
      <c r="AD13" s="9"/>
      <c r="AE13" s="9">
        <v>4</v>
      </c>
      <c r="AF13" s="9">
        <v>4</v>
      </c>
      <c r="AG13" s="9"/>
      <c r="AH13" s="9"/>
      <c r="AI13" s="9"/>
      <c r="AJ13" s="9"/>
      <c r="AK13" s="9"/>
      <c r="AL13" s="9">
        <v>1</v>
      </c>
      <c r="AM13" s="9"/>
      <c r="AN13" s="9"/>
      <c r="AO13" s="9"/>
      <c r="AP13" s="9">
        <v>1</v>
      </c>
      <c r="AQ13" s="9"/>
      <c r="AR13" s="9"/>
      <c r="AS13" s="9"/>
      <c r="AT13" s="9"/>
      <c r="AU13" s="9"/>
      <c r="AV13" s="9">
        <v>3</v>
      </c>
      <c r="AW13" s="9"/>
      <c r="AX13" s="9"/>
      <c r="AY13" s="9" t="s">
        <v>112</v>
      </c>
      <c r="AZ13" s="6"/>
    </row>
    <row r="14" spans="1:52" x14ac:dyDescent="0.2">
      <c r="A14" s="15">
        <v>12</v>
      </c>
      <c r="B14" s="9">
        <v>38.333482984453397</v>
      </c>
      <c r="C14" s="9">
        <f>-28.2900919765233</f>
        <v>-28.2900919765233</v>
      </c>
      <c r="D14" s="10">
        <v>42576</v>
      </c>
      <c r="E14" s="25" t="s">
        <v>129</v>
      </c>
      <c r="F14" s="25" t="s">
        <v>114</v>
      </c>
      <c r="G14" s="25" t="s">
        <v>127</v>
      </c>
      <c r="H14" s="11">
        <v>0.72337962962962965</v>
      </c>
      <c r="I14" s="11"/>
      <c r="J14" s="11">
        <v>6.9444444444444447E-4</v>
      </c>
      <c r="K14" s="9" t="s">
        <v>28</v>
      </c>
      <c r="L14" s="9" t="s">
        <v>29</v>
      </c>
      <c r="M14" s="9" t="s">
        <v>29</v>
      </c>
      <c r="N14" s="9"/>
      <c r="O14" s="9"/>
      <c r="P14" s="9"/>
      <c r="Q14" s="9"/>
      <c r="R14" s="9"/>
      <c r="S14" s="9">
        <v>1</v>
      </c>
      <c r="T14" s="9"/>
      <c r="U14" s="9"/>
      <c r="V14" s="9"/>
      <c r="W14" s="9"/>
      <c r="X14" s="9"/>
      <c r="Y14" s="9"/>
      <c r="Z14" s="9"/>
      <c r="AA14" s="9"/>
      <c r="AB14" s="9"/>
      <c r="AC14" s="9">
        <v>1</v>
      </c>
      <c r="AD14" s="9"/>
      <c r="AE14" s="9">
        <v>5</v>
      </c>
      <c r="AF14" s="9">
        <v>4</v>
      </c>
      <c r="AG14" s="9">
        <v>1</v>
      </c>
      <c r="AH14" s="9"/>
      <c r="AI14" s="9"/>
      <c r="AJ14" s="9"/>
      <c r="AK14" s="9"/>
      <c r="AL14" s="9">
        <v>1</v>
      </c>
      <c r="AM14" s="9"/>
      <c r="AN14" s="9"/>
      <c r="AO14" s="9">
        <v>1</v>
      </c>
      <c r="AP14" s="9"/>
      <c r="AQ14" s="9"/>
      <c r="AR14" s="9"/>
      <c r="AS14" s="9"/>
      <c r="AT14" s="9"/>
      <c r="AU14" s="9"/>
      <c r="AV14" s="9">
        <v>1</v>
      </c>
      <c r="AW14" s="9"/>
      <c r="AX14" s="9"/>
      <c r="AY14" s="9" t="s">
        <v>112</v>
      </c>
      <c r="AZ14" s="6"/>
    </row>
    <row r="15" spans="1:52" x14ac:dyDescent="0.2">
      <c r="A15" s="15">
        <v>13</v>
      </c>
      <c r="B15" s="9">
        <v>38.350524986162696</v>
      </c>
      <c r="C15" s="9">
        <f>-28.3146080374717</f>
        <v>-28.3146080374717</v>
      </c>
      <c r="D15" s="10">
        <v>42594</v>
      </c>
      <c r="E15" s="25" t="s">
        <v>130</v>
      </c>
      <c r="F15" s="25" t="s">
        <v>123</v>
      </c>
      <c r="G15" s="25" t="s">
        <v>127</v>
      </c>
      <c r="H15" s="11">
        <v>0.48790509259259257</v>
      </c>
      <c r="I15" s="11"/>
      <c r="J15" s="11">
        <v>6.9444444444444447E-4</v>
      </c>
      <c r="K15" s="9" t="s">
        <v>30</v>
      </c>
      <c r="L15" s="9" t="s">
        <v>31</v>
      </c>
      <c r="M15" s="9" t="s">
        <v>31</v>
      </c>
      <c r="N15" s="9"/>
      <c r="O15" s="9">
        <v>1</v>
      </c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>
        <v>1</v>
      </c>
      <c r="AD15" s="9"/>
      <c r="AE15" s="9">
        <v>15</v>
      </c>
      <c r="AF15" s="9">
        <v>9</v>
      </c>
      <c r="AG15" s="9">
        <v>3</v>
      </c>
      <c r="AH15" s="9">
        <v>3</v>
      </c>
      <c r="AI15" s="9"/>
      <c r="AJ15" s="9"/>
      <c r="AK15" s="9"/>
      <c r="AL15" s="9">
        <v>1</v>
      </c>
      <c r="AM15" s="9"/>
      <c r="AN15" s="9"/>
      <c r="AO15" s="9"/>
      <c r="AP15" s="9">
        <v>1</v>
      </c>
      <c r="AQ15" s="9"/>
      <c r="AR15" s="9"/>
      <c r="AS15" s="9"/>
      <c r="AT15" s="9"/>
      <c r="AU15" s="9"/>
      <c r="AV15" s="9">
        <v>1</v>
      </c>
      <c r="AW15" s="9"/>
      <c r="AX15" s="9"/>
      <c r="AY15" s="9" t="s">
        <v>112</v>
      </c>
      <c r="AZ15" s="6"/>
    </row>
    <row r="16" spans="1:52" x14ac:dyDescent="0.2">
      <c r="A16" s="15">
        <v>14</v>
      </c>
      <c r="B16" s="9">
        <v>38.232454983517499</v>
      </c>
      <c r="C16" s="9">
        <f>-28.2523999828845</f>
        <v>-28.252399982884501</v>
      </c>
      <c r="D16" s="10">
        <v>42605</v>
      </c>
      <c r="E16" s="25" t="s">
        <v>122</v>
      </c>
      <c r="F16" s="25" t="s">
        <v>123</v>
      </c>
      <c r="G16" s="25" t="s">
        <v>127</v>
      </c>
      <c r="H16" s="11">
        <v>0.67166666666666675</v>
      </c>
      <c r="I16" s="11"/>
      <c r="J16" s="11">
        <v>6.9444444444444447E-4</v>
      </c>
      <c r="K16" s="9" t="s">
        <v>32</v>
      </c>
      <c r="L16" s="9" t="s">
        <v>33</v>
      </c>
      <c r="M16" s="9" t="s">
        <v>33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>
        <v>1</v>
      </c>
      <c r="AE16" s="9">
        <v>3</v>
      </c>
      <c r="AF16" s="9">
        <v>3</v>
      </c>
      <c r="AG16" s="9"/>
      <c r="AH16" s="9"/>
      <c r="AI16" s="9"/>
      <c r="AJ16" s="9"/>
      <c r="AK16" s="9"/>
      <c r="AL16" s="9">
        <v>1</v>
      </c>
      <c r="AM16" s="9"/>
      <c r="AN16" s="9"/>
      <c r="AO16" s="9"/>
      <c r="AP16" s="9">
        <v>1</v>
      </c>
      <c r="AQ16" s="9"/>
      <c r="AR16" s="9"/>
      <c r="AS16" s="9"/>
      <c r="AT16" s="9"/>
      <c r="AU16" s="9"/>
      <c r="AV16" s="9">
        <v>1</v>
      </c>
      <c r="AW16" s="9"/>
      <c r="AX16" s="9"/>
      <c r="AY16" s="9" t="s">
        <v>112</v>
      </c>
      <c r="AZ16" s="6"/>
    </row>
    <row r="17" spans="1:52" x14ac:dyDescent="0.2">
      <c r="A17" s="15">
        <v>15</v>
      </c>
      <c r="B17" s="9">
        <v>38.340328987687798</v>
      </c>
      <c r="C17" s="9">
        <f>-28.2013710401952</f>
        <v>-28.201371040195198</v>
      </c>
      <c r="D17" s="10">
        <v>42610</v>
      </c>
      <c r="E17" s="25" t="s">
        <v>131</v>
      </c>
      <c r="F17" s="25" t="s">
        <v>123</v>
      </c>
      <c r="G17" s="25" t="s">
        <v>127</v>
      </c>
      <c r="H17" s="11">
        <v>0.71302083333333333</v>
      </c>
      <c r="I17" s="11"/>
      <c r="J17" s="11">
        <v>6.9444444444444447E-4</v>
      </c>
      <c r="K17" s="9" t="s">
        <v>34</v>
      </c>
      <c r="L17" s="9" t="s">
        <v>35</v>
      </c>
      <c r="M17" s="9" t="s">
        <v>35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>
        <v>1</v>
      </c>
      <c r="AE17" s="9">
        <v>2</v>
      </c>
      <c r="AF17" s="9">
        <v>2</v>
      </c>
      <c r="AG17" s="9"/>
      <c r="AH17" s="9"/>
      <c r="AI17" s="9"/>
      <c r="AJ17" s="9"/>
      <c r="AK17" s="9"/>
      <c r="AL17" s="9">
        <v>1</v>
      </c>
      <c r="AM17" s="9"/>
      <c r="AN17" s="9"/>
      <c r="AO17" s="9"/>
      <c r="AP17" s="9"/>
      <c r="AQ17" s="9">
        <v>1</v>
      </c>
      <c r="AR17" s="9"/>
      <c r="AS17" s="9"/>
      <c r="AT17" s="9"/>
      <c r="AU17" s="9"/>
      <c r="AV17" s="9">
        <v>3</v>
      </c>
      <c r="AW17" s="9"/>
      <c r="AX17" s="9"/>
      <c r="AY17" s="9" t="s">
        <v>112</v>
      </c>
      <c r="AZ17" s="6"/>
    </row>
    <row r="18" spans="1:52" x14ac:dyDescent="0.2">
      <c r="A18" s="15">
        <v>16</v>
      </c>
      <c r="B18" s="9">
        <v>38.379613040015101</v>
      </c>
      <c r="C18" s="9">
        <f>-28.1398020219057</f>
        <v>-28.139802021905702</v>
      </c>
      <c r="D18" s="10">
        <v>42614</v>
      </c>
      <c r="E18" s="25" t="s">
        <v>132</v>
      </c>
      <c r="F18" s="25" t="s">
        <v>133</v>
      </c>
      <c r="G18" s="25" t="s">
        <v>127</v>
      </c>
      <c r="H18" s="11">
        <v>0.45512731481481478</v>
      </c>
      <c r="I18" s="11"/>
      <c r="J18" s="11">
        <v>6.9444444444444447E-4</v>
      </c>
      <c r="K18" s="9" t="s">
        <v>36</v>
      </c>
      <c r="L18" s="9" t="s">
        <v>37</v>
      </c>
      <c r="M18" s="9" t="s">
        <v>37</v>
      </c>
      <c r="N18" s="9"/>
      <c r="O18" s="9"/>
      <c r="P18" s="9"/>
      <c r="Q18" s="9"/>
      <c r="R18" s="9"/>
      <c r="S18" s="9">
        <v>1</v>
      </c>
      <c r="T18" s="9"/>
      <c r="U18" s="9"/>
      <c r="V18" s="9"/>
      <c r="W18" s="9"/>
      <c r="X18" s="9"/>
      <c r="Y18" s="9"/>
      <c r="Z18" s="9"/>
      <c r="AA18" s="9"/>
      <c r="AB18" s="9"/>
      <c r="AC18" s="9">
        <v>1</v>
      </c>
      <c r="AD18" s="9"/>
      <c r="AE18" s="9">
        <v>2</v>
      </c>
      <c r="AF18" s="9">
        <v>2</v>
      </c>
      <c r="AG18" s="9"/>
      <c r="AH18" s="9"/>
      <c r="AI18" s="9"/>
      <c r="AJ18" s="9"/>
      <c r="AK18" s="9"/>
      <c r="AL18" s="9">
        <v>1</v>
      </c>
      <c r="AM18" s="9"/>
      <c r="AN18" s="9"/>
      <c r="AO18" s="9"/>
      <c r="AP18" s="9">
        <v>1</v>
      </c>
      <c r="AQ18" s="9"/>
      <c r="AR18" s="9"/>
      <c r="AS18" s="9"/>
      <c r="AT18" s="9"/>
      <c r="AU18" s="9"/>
      <c r="AV18" s="9">
        <v>1</v>
      </c>
      <c r="AW18" s="9"/>
      <c r="AX18" s="9"/>
      <c r="AY18" s="9" t="s">
        <v>112</v>
      </c>
      <c r="AZ18" s="6"/>
    </row>
    <row r="19" spans="1:52" x14ac:dyDescent="0.2">
      <c r="A19" s="15">
        <v>17</v>
      </c>
      <c r="B19" s="9">
        <v>38.285612007603</v>
      </c>
      <c r="C19" s="9">
        <f>-27.9412520024925</f>
        <v>-27.941252002492501</v>
      </c>
      <c r="D19" s="10">
        <v>42614</v>
      </c>
      <c r="E19" s="25" t="s">
        <v>132</v>
      </c>
      <c r="F19" s="25" t="s">
        <v>133</v>
      </c>
      <c r="G19" s="25" t="s">
        <v>127</v>
      </c>
      <c r="H19" s="11">
        <v>0.62403935185185189</v>
      </c>
      <c r="I19" s="11"/>
      <c r="J19" s="11">
        <v>6.9444444444444447E-4</v>
      </c>
      <c r="K19" s="9" t="s">
        <v>38</v>
      </c>
      <c r="L19" s="9" t="s">
        <v>39</v>
      </c>
      <c r="M19" s="9" t="s">
        <v>39</v>
      </c>
      <c r="N19" s="9"/>
      <c r="O19" s="9"/>
      <c r="P19" s="9"/>
      <c r="Q19" s="9"/>
      <c r="R19" s="9"/>
      <c r="S19" s="9">
        <v>1</v>
      </c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>
        <v>2</v>
      </c>
      <c r="AF19" s="9">
        <v>1</v>
      </c>
      <c r="AG19" s="9"/>
      <c r="AH19" s="9">
        <v>1</v>
      </c>
      <c r="AI19" s="9"/>
      <c r="AJ19" s="9"/>
      <c r="AK19" s="9"/>
      <c r="AL19" s="9">
        <v>1</v>
      </c>
      <c r="AM19" s="9"/>
      <c r="AN19" s="9"/>
      <c r="AO19" s="9"/>
      <c r="AP19" s="9">
        <v>1</v>
      </c>
      <c r="AQ19" s="9"/>
      <c r="AR19" s="9"/>
      <c r="AS19" s="9"/>
      <c r="AT19" s="9"/>
      <c r="AU19" s="9"/>
      <c r="AV19" s="9">
        <v>1</v>
      </c>
      <c r="AW19" s="9"/>
      <c r="AX19" s="9"/>
      <c r="AY19" s="9" t="s">
        <v>112</v>
      </c>
      <c r="AZ19" s="6"/>
    </row>
    <row r="20" spans="1:52" x14ac:dyDescent="0.2">
      <c r="A20" s="15">
        <v>18</v>
      </c>
      <c r="B20" s="9">
        <v>38.3432879671454</v>
      </c>
      <c r="C20" s="9">
        <f>-28.3457430358976</f>
        <v>-28.345743035897598</v>
      </c>
      <c r="D20" s="10">
        <v>42635</v>
      </c>
      <c r="E20" s="25" t="s">
        <v>117</v>
      </c>
      <c r="F20" s="25" t="s">
        <v>133</v>
      </c>
      <c r="G20" s="25" t="s">
        <v>127</v>
      </c>
      <c r="H20" s="11">
        <v>0.4987847222222222</v>
      </c>
      <c r="I20" s="11"/>
      <c r="J20" s="11">
        <v>6.9444444444444447E-4</v>
      </c>
      <c r="K20" s="9" t="s">
        <v>40</v>
      </c>
      <c r="L20" s="9" t="s">
        <v>41</v>
      </c>
      <c r="M20" s="9" t="s">
        <v>41</v>
      </c>
      <c r="N20" s="9"/>
      <c r="O20" s="9"/>
      <c r="P20" s="9"/>
      <c r="Q20" s="9"/>
      <c r="R20" s="9">
        <v>1</v>
      </c>
      <c r="S20" s="9"/>
      <c r="T20" s="9"/>
      <c r="U20" s="9"/>
      <c r="V20" s="9"/>
      <c r="W20" s="9"/>
      <c r="X20" s="9"/>
      <c r="Y20" s="9"/>
      <c r="Z20" s="9"/>
      <c r="AA20" s="9"/>
      <c r="AB20" s="9"/>
      <c r="AC20" s="9">
        <v>1</v>
      </c>
      <c r="AD20" s="9"/>
      <c r="AE20" s="9">
        <v>3</v>
      </c>
      <c r="AF20" s="9">
        <v>3</v>
      </c>
      <c r="AG20" s="9"/>
      <c r="AH20" s="9"/>
      <c r="AI20" s="9"/>
      <c r="AJ20" s="9"/>
      <c r="AK20" s="9"/>
      <c r="AL20" s="9">
        <v>1</v>
      </c>
      <c r="AM20" s="9"/>
      <c r="AN20" s="9"/>
      <c r="AO20" s="9"/>
      <c r="AP20" s="9">
        <v>1</v>
      </c>
      <c r="AQ20" s="9"/>
      <c r="AR20" s="9"/>
      <c r="AS20" s="9"/>
      <c r="AT20" s="9"/>
      <c r="AU20" s="9"/>
      <c r="AV20" s="9">
        <v>2</v>
      </c>
      <c r="AW20" s="9"/>
      <c r="AX20" s="9"/>
      <c r="AY20" s="9" t="s">
        <v>112</v>
      </c>
      <c r="AZ20" s="6"/>
    </row>
    <row r="21" spans="1:52" x14ac:dyDescent="0.2">
      <c r="A21" s="15">
        <v>19</v>
      </c>
      <c r="B21" s="9">
        <v>38.3850659709423</v>
      </c>
      <c r="C21" s="9">
        <f>-28.400763021782</f>
        <v>-28.400763021782002</v>
      </c>
      <c r="D21" s="10">
        <v>42679</v>
      </c>
      <c r="E21" s="25" t="s">
        <v>134</v>
      </c>
      <c r="F21" s="25" t="s">
        <v>135</v>
      </c>
      <c r="G21" s="25" t="s">
        <v>127</v>
      </c>
      <c r="H21" s="11">
        <v>0.52249999999999996</v>
      </c>
      <c r="I21" s="11"/>
      <c r="J21" s="11">
        <v>6.9444444444444447E-4</v>
      </c>
      <c r="K21" s="9" t="s">
        <v>42</v>
      </c>
      <c r="L21" s="9" t="s">
        <v>43</v>
      </c>
      <c r="M21" s="9" t="s">
        <v>43</v>
      </c>
      <c r="N21" s="9"/>
      <c r="O21" s="9"/>
      <c r="P21" s="9"/>
      <c r="Q21" s="9"/>
      <c r="R21" s="9">
        <v>1</v>
      </c>
      <c r="S21" s="9"/>
      <c r="T21" s="9"/>
      <c r="U21" s="9"/>
      <c r="V21" s="9"/>
      <c r="W21" s="9"/>
      <c r="X21" s="9"/>
      <c r="Y21" s="9"/>
      <c r="Z21" s="9"/>
      <c r="AA21" s="9"/>
      <c r="AB21" s="9"/>
      <c r="AC21" s="9">
        <v>1</v>
      </c>
      <c r="AD21" s="9"/>
      <c r="AE21" s="9">
        <v>3</v>
      </c>
      <c r="AF21" s="9">
        <v>3</v>
      </c>
      <c r="AG21" s="9"/>
      <c r="AH21" s="9"/>
      <c r="AI21" s="9"/>
      <c r="AJ21" s="9"/>
      <c r="AK21" s="9"/>
      <c r="AL21" s="9"/>
      <c r="AM21" s="9">
        <v>1</v>
      </c>
      <c r="AN21" s="9"/>
      <c r="AO21" s="9"/>
      <c r="AP21" s="9"/>
      <c r="AQ21" s="9">
        <v>1</v>
      </c>
      <c r="AR21" s="9"/>
      <c r="AS21" s="9"/>
      <c r="AT21" s="9"/>
      <c r="AU21" s="9"/>
      <c r="AV21" s="9">
        <v>2</v>
      </c>
      <c r="AW21" s="9"/>
      <c r="AX21" s="9"/>
      <c r="AY21" s="9" t="s">
        <v>112</v>
      </c>
      <c r="AZ21" s="6"/>
    </row>
    <row r="22" spans="1:52" x14ac:dyDescent="0.2">
      <c r="A22" s="15">
        <v>20</v>
      </c>
      <c r="B22" s="9">
        <v>38.282511960714999</v>
      </c>
      <c r="C22" s="9">
        <f>-28.4131959825754</f>
        <v>-28.413195982575399</v>
      </c>
      <c r="D22" s="10">
        <v>42917</v>
      </c>
      <c r="E22" s="25" t="s">
        <v>132</v>
      </c>
      <c r="F22" s="25" t="s">
        <v>114</v>
      </c>
      <c r="G22" s="25" t="s">
        <v>136</v>
      </c>
      <c r="H22" s="11">
        <v>0.63013888888888892</v>
      </c>
      <c r="I22" s="11"/>
      <c r="J22" s="11">
        <v>6.9444444444444447E-4</v>
      </c>
      <c r="K22" s="9" t="s">
        <v>44</v>
      </c>
      <c r="L22" s="9" t="s">
        <v>45</v>
      </c>
      <c r="M22" s="9" t="s">
        <v>45</v>
      </c>
      <c r="N22" s="9"/>
      <c r="O22" s="9"/>
      <c r="P22" s="9"/>
      <c r="Q22" s="9"/>
      <c r="R22" s="9"/>
      <c r="S22" s="9">
        <v>1</v>
      </c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>
        <v>1</v>
      </c>
      <c r="AF22" s="9">
        <v>1</v>
      </c>
      <c r="AG22" s="9"/>
      <c r="AH22" s="9"/>
      <c r="AI22" s="9"/>
      <c r="AJ22" s="9"/>
      <c r="AK22" s="9"/>
      <c r="AL22" s="9">
        <v>1</v>
      </c>
      <c r="AM22" s="9"/>
      <c r="AN22" s="9"/>
      <c r="AO22" s="9"/>
      <c r="AP22" s="9"/>
      <c r="AQ22" s="9">
        <v>1</v>
      </c>
      <c r="AR22" s="9"/>
      <c r="AS22" s="9"/>
      <c r="AT22" s="9"/>
      <c r="AU22" s="9"/>
      <c r="AV22" s="9">
        <v>1</v>
      </c>
      <c r="AW22" s="9"/>
      <c r="AX22" s="9"/>
      <c r="AY22" s="9" t="s">
        <v>112</v>
      </c>
      <c r="AZ22" s="6"/>
    </row>
    <row r="23" spans="1:52" x14ac:dyDescent="0.2">
      <c r="A23" s="15">
        <v>21</v>
      </c>
      <c r="B23" s="9">
        <v>38.386452002450802</v>
      </c>
      <c r="C23" s="9">
        <f>-28.1402200274169</f>
        <v>-28.140220027416898</v>
      </c>
      <c r="D23" s="10">
        <v>42939</v>
      </c>
      <c r="E23" s="25" t="s">
        <v>122</v>
      </c>
      <c r="F23" s="25" t="s">
        <v>114</v>
      </c>
      <c r="G23" s="25" t="s">
        <v>136</v>
      </c>
      <c r="H23" s="11">
        <v>0.47127314814814819</v>
      </c>
      <c r="I23" s="11"/>
      <c r="J23" s="11">
        <v>6.9444444444444447E-4</v>
      </c>
      <c r="K23" s="9" t="s">
        <v>46</v>
      </c>
      <c r="L23" s="9" t="s">
        <v>47</v>
      </c>
      <c r="M23" s="9" t="s">
        <v>47</v>
      </c>
      <c r="N23" s="9"/>
      <c r="O23" s="9"/>
      <c r="P23" s="9"/>
      <c r="Q23" s="9"/>
      <c r="R23" s="9"/>
      <c r="S23" s="9">
        <v>1</v>
      </c>
      <c r="T23" s="9"/>
      <c r="U23" s="9"/>
      <c r="V23" s="9"/>
      <c r="W23" s="9"/>
      <c r="X23" s="9"/>
      <c r="Y23" s="9"/>
      <c r="Z23" s="9"/>
      <c r="AA23" s="9"/>
      <c r="AB23" s="9"/>
      <c r="AC23" s="9">
        <v>1</v>
      </c>
      <c r="AD23" s="9"/>
      <c r="AE23" s="9">
        <v>5</v>
      </c>
      <c r="AF23" s="9">
        <v>2</v>
      </c>
      <c r="AG23" s="9">
        <v>3</v>
      </c>
      <c r="AH23" s="9"/>
      <c r="AI23" s="9"/>
      <c r="AJ23" s="9"/>
      <c r="AK23" s="9"/>
      <c r="AL23" s="9">
        <v>1</v>
      </c>
      <c r="AM23" s="9"/>
      <c r="AN23" s="9"/>
      <c r="AO23" s="9"/>
      <c r="AP23" s="9"/>
      <c r="AQ23" s="9">
        <v>1</v>
      </c>
      <c r="AR23" s="9"/>
      <c r="AS23" s="9"/>
      <c r="AT23" s="9"/>
      <c r="AU23" s="9"/>
      <c r="AV23" s="9">
        <v>2</v>
      </c>
      <c r="AW23" s="9"/>
      <c r="AX23" s="9"/>
      <c r="AY23" s="9" t="s">
        <v>112</v>
      </c>
      <c r="AZ23" s="6"/>
    </row>
    <row r="24" spans="1:52" x14ac:dyDescent="0.2">
      <c r="A24" s="15">
        <v>22</v>
      </c>
      <c r="B24" s="9">
        <v>38.382579982280703</v>
      </c>
      <c r="C24" s="9">
        <f>-28.3554490283131</f>
        <v>-28.3554490283131</v>
      </c>
      <c r="D24" s="10">
        <v>42970</v>
      </c>
      <c r="E24" s="25" t="s">
        <v>122</v>
      </c>
      <c r="F24" s="25" t="s">
        <v>123</v>
      </c>
      <c r="G24" s="25" t="s">
        <v>136</v>
      </c>
      <c r="H24" s="11">
        <v>0.4380324074074074</v>
      </c>
      <c r="I24" s="11"/>
      <c r="J24" s="11">
        <v>6.9444444444444447E-4</v>
      </c>
      <c r="K24" s="9" t="s">
        <v>48</v>
      </c>
      <c r="L24" s="9" t="s">
        <v>49</v>
      </c>
      <c r="M24" s="9" t="s">
        <v>49</v>
      </c>
      <c r="N24" s="9"/>
      <c r="O24" s="9"/>
      <c r="P24" s="9"/>
      <c r="Q24" s="9">
        <v>1</v>
      </c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>
        <v>5</v>
      </c>
      <c r="AF24" s="9">
        <v>5</v>
      </c>
      <c r="AG24" s="9"/>
      <c r="AH24" s="9"/>
      <c r="AI24" s="9"/>
      <c r="AJ24" s="9"/>
      <c r="AK24" s="9"/>
      <c r="AL24" s="9">
        <v>1</v>
      </c>
      <c r="AM24" s="9"/>
      <c r="AN24" s="9"/>
      <c r="AO24" s="9"/>
      <c r="AP24" s="9">
        <v>1</v>
      </c>
      <c r="AQ24" s="9"/>
      <c r="AR24" s="9"/>
      <c r="AS24" s="9"/>
      <c r="AT24" s="9"/>
      <c r="AU24" s="9"/>
      <c r="AV24" s="9">
        <v>2</v>
      </c>
      <c r="AW24" s="9"/>
      <c r="AX24" s="9"/>
      <c r="AY24" s="9" t="s">
        <v>112</v>
      </c>
      <c r="AZ24" s="6"/>
    </row>
    <row r="25" spans="1:52" x14ac:dyDescent="0.2">
      <c r="A25" s="15">
        <v>23</v>
      </c>
      <c r="B25" s="9">
        <v>38.372796960175002</v>
      </c>
      <c r="C25" s="9">
        <f>-28.3435530122369</f>
        <v>-28.343553012236899</v>
      </c>
      <c r="D25" s="10">
        <v>42971</v>
      </c>
      <c r="E25" s="25" t="s">
        <v>137</v>
      </c>
      <c r="F25" s="25" t="s">
        <v>123</v>
      </c>
      <c r="G25" s="25" t="s">
        <v>136</v>
      </c>
      <c r="H25" s="11">
        <v>0.4332523148148148</v>
      </c>
      <c r="I25" s="11"/>
      <c r="J25" s="11">
        <v>6.9444444444444447E-4</v>
      </c>
      <c r="K25" s="9" t="s">
        <v>50</v>
      </c>
      <c r="L25" s="9" t="s">
        <v>51</v>
      </c>
      <c r="M25" s="9" t="s">
        <v>51</v>
      </c>
      <c r="N25" s="9"/>
      <c r="O25" s="9"/>
      <c r="P25" s="9"/>
      <c r="Q25" s="9"/>
      <c r="R25" s="9"/>
      <c r="S25" s="9">
        <v>1</v>
      </c>
      <c r="T25" s="9"/>
      <c r="U25" s="9"/>
      <c r="V25" s="9"/>
      <c r="W25" s="9"/>
      <c r="X25" s="9"/>
      <c r="Y25" s="9"/>
      <c r="Z25" s="9"/>
      <c r="AA25" s="9"/>
      <c r="AB25" s="9"/>
      <c r="AC25" s="9">
        <v>1</v>
      </c>
      <c r="AD25" s="9"/>
      <c r="AE25" s="9">
        <v>4</v>
      </c>
      <c r="AF25" s="9">
        <v>4</v>
      </c>
      <c r="AG25" s="9"/>
      <c r="AH25" s="9"/>
      <c r="AI25" s="9"/>
      <c r="AJ25" s="9"/>
      <c r="AK25" s="9"/>
      <c r="AL25" s="9">
        <v>1</v>
      </c>
      <c r="AM25" s="9"/>
      <c r="AN25" s="9"/>
      <c r="AO25" s="9"/>
      <c r="AP25" s="9"/>
      <c r="AQ25" s="9">
        <v>1</v>
      </c>
      <c r="AR25" s="9"/>
      <c r="AS25" s="9"/>
      <c r="AT25" s="9"/>
      <c r="AU25" s="9"/>
      <c r="AV25" s="9">
        <v>3</v>
      </c>
      <c r="AW25" s="9"/>
      <c r="AX25" s="9"/>
      <c r="AY25" s="9" t="s">
        <v>112</v>
      </c>
      <c r="AZ25" s="6"/>
    </row>
    <row r="26" spans="1:52" x14ac:dyDescent="0.2">
      <c r="A26" s="15">
        <v>24</v>
      </c>
      <c r="B26" s="9">
        <v>38.3765160106122</v>
      </c>
      <c r="C26" s="9">
        <f>-28.3261240180581</f>
        <v>-28.326124018058099</v>
      </c>
      <c r="D26" s="10">
        <v>42972</v>
      </c>
      <c r="E26" s="25" t="s">
        <v>129</v>
      </c>
      <c r="F26" s="25" t="s">
        <v>123</v>
      </c>
      <c r="G26" s="25" t="s">
        <v>136</v>
      </c>
      <c r="H26" s="11">
        <v>0.38141203703703702</v>
      </c>
      <c r="I26" s="11"/>
      <c r="J26" s="11">
        <v>6.9444444444444447E-4</v>
      </c>
      <c r="K26" s="9" t="s">
        <v>52</v>
      </c>
      <c r="L26" s="9" t="s">
        <v>53</v>
      </c>
      <c r="M26" s="9" t="s">
        <v>53</v>
      </c>
      <c r="N26" s="9"/>
      <c r="O26" s="9"/>
      <c r="P26" s="9"/>
      <c r="Q26" s="9"/>
      <c r="R26" s="9"/>
      <c r="S26" s="9">
        <v>1</v>
      </c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>
        <v>5</v>
      </c>
      <c r="AF26" s="9">
        <v>5</v>
      </c>
      <c r="AG26" s="9"/>
      <c r="AH26" s="9"/>
      <c r="AI26" s="9"/>
      <c r="AJ26" s="9"/>
      <c r="AK26" s="9"/>
      <c r="AL26" s="9"/>
      <c r="AM26" s="9">
        <v>1</v>
      </c>
      <c r="AN26" s="9"/>
      <c r="AO26" s="9"/>
      <c r="AP26" s="9"/>
      <c r="AQ26" s="9">
        <v>1</v>
      </c>
      <c r="AR26" s="9"/>
      <c r="AS26" s="9"/>
      <c r="AT26" s="9"/>
      <c r="AU26" s="9"/>
      <c r="AV26" s="9">
        <v>3</v>
      </c>
      <c r="AW26" s="9"/>
      <c r="AX26" s="9"/>
      <c r="AY26" s="9" t="s">
        <v>112</v>
      </c>
      <c r="AZ26" s="6"/>
    </row>
    <row r="27" spans="1:52" x14ac:dyDescent="0.2">
      <c r="A27" s="15">
        <v>25</v>
      </c>
      <c r="B27" s="9">
        <v>38.287382014095698</v>
      </c>
      <c r="C27" s="9">
        <f>-28.3067640010267</f>
        <v>-28.3067640010267</v>
      </c>
      <c r="D27" s="10">
        <v>43290</v>
      </c>
      <c r="E27" s="25" t="s">
        <v>133</v>
      </c>
      <c r="F27" s="25" t="s">
        <v>114</v>
      </c>
      <c r="G27" s="25" t="s">
        <v>138</v>
      </c>
      <c r="H27" s="11">
        <v>0.60116898148148146</v>
      </c>
      <c r="I27" s="11"/>
      <c r="J27" s="11">
        <v>6.9444444444444447E-4</v>
      </c>
      <c r="K27" s="9" t="s">
        <v>54</v>
      </c>
      <c r="L27" s="9" t="s">
        <v>55</v>
      </c>
      <c r="M27" s="9" t="s">
        <v>55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>
        <v>1</v>
      </c>
      <c r="AE27" s="9">
        <v>2</v>
      </c>
      <c r="AF27" s="9">
        <v>1</v>
      </c>
      <c r="AG27" s="9"/>
      <c r="AH27" s="9">
        <v>1</v>
      </c>
      <c r="AI27" s="9"/>
      <c r="AJ27" s="9"/>
      <c r="AK27" s="9"/>
      <c r="AL27" s="9"/>
      <c r="AM27" s="9">
        <v>1</v>
      </c>
      <c r="AN27" s="9"/>
      <c r="AO27" s="9"/>
      <c r="AP27" s="9"/>
      <c r="AQ27" s="9">
        <v>1</v>
      </c>
      <c r="AR27" s="9"/>
      <c r="AS27" s="9"/>
      <c r="AT27" s="9"/>
      <c r="AU27" s="9"/>
      <c r="AV27" s="9">
        <v>2</v>
      </c>
      <c r="AW27" s="9"/>
      <c r="AX27" s="9"/>
      <c r="AY27" s="9" t="s">
        <v>112</v>
      </c>
      <c r="AZ27" s="6"/>
    </row>
    <row r="28" spans="1:52" x14ac:dyDescent="0.2">
      <c r="A28" s="15">
        <v>26</v>
      </c>
      <c r="B28" s="9">
        <v>38.369241021573501</v>
      </c>
      <c r="C28" s="9">
        <f>-28.3351670019328</f>
        <v>-28.335167001932799</v>
      </c>
      <c r="D28" s="10">
        <v>43297</v>
      </c>
      <c r="E28" s="25" t="s">
        <v>139</v>
      </c>
      <c r="F28" s="25" t="s">
        <v>114</v>
      </c>
      <c r="G28" s="25" t="s">
        <v>138</v>
      </c>
      <c r="H28" s="11">
        <v>0.59865740740740747</v>
      </c>
      <c r="I28" s="11">
        <v>0.60113425925925923</v>
      </c>
      <c r="J28" s="11">
        <f t="shared" si="0"/>
        <v>2.4768518518517579E-3</v>
      </c>
      <c r="K28" s="9" t="s">
        <v>56</v>
      </c>
      <c r="L28" s="9" t="s">
        <v>4</v>
      </c>
      <c r="M28" s="9" t="s">
        <v>58</v>
      </c>
      <c r="N28" s="9"/>
      <c r="O28" s="9"/>
      <c r="P28" s="9"/>
      <c r="Q28" s="9"/>
      <c r="R28" s="9"/>
      <c r="S28" s="9">
        <v>1</v>
      </c>
      <c r="T28" s="9"/>
      <c r="U28" s="9"/>
      <c r="V28" s="9"/>
      <c r="W28" s="9"/>
      <c r="X28" s="9"/>
      <c r="Y28" s="9"/>
      <c r="Z28" s="9"/>
      <c r="AA28" s="9"/>
      <c r="AB28" s="9"/>
      <c r="AC28" s="9">
        <v>1</v>
      </c>
      <c r="AD28" s="9"/>
      <c r="AE28" s="9">
        <v>4</v>
      </c>
      <c r="AF28" s="9">
        <v>4</v>
      </c>
      <c r="AG28" s="9"/>
      <c r="AH28" s="9"/>
      <c r="AI28" s="9"/>
      <c r="AJ28" s="9"/>
      <c r="AK28" s="9">
        <v>1</v>
      </c>
      <c r="AL28" s="9"/>
      <c r="AM28" s="9"/>
      <c r="AN28" s="9"/>
      <c r="AO28" s="9"/>
      <c r="AP28" s="9">
        <v>1</v>
      </c>
      <c r="AQ28" s="9"/>
      <c r="AR28" s="9"/>
      <c r="AS28" s="9"/>
      <c r="AT28" s="9"/>
      <c r="AU28" s="9"/>
      <c r="AV28" s="9">
        <v>1</v>
      </c>
      <c r="AW28" s="9"/>
      <c r="AX28" s="9"/>
      <c r="AY28" s="9" t="s">
        <v>112</v>
      </c>
      <c r="AZ28" s="6"/>
    </row>
    <row r="29" spans="1:52" x14ac:dyDescent="0.2">
      <c r="A29" s="15">
        <v>27</v>
      </c>
      <c r="B29" s="9">
        <v>38.400867031887103</v>
      </c>
      <c r="C29" s="9">
        <f>-28.4740050137043</f>
        <v>-28.4740050137043</v>
      </c>
      <c r="D29" s="10">
        <v>43298</v>
      </c>
      <c r="E29" s="25" t="s">
        <v>140</v>
      </c>
      <c r="F29" s="25" t="s">
        <v>114</v>
      </c>
      <c r="G29" s="25" t="s">
        <v>138</v>
      </c>
      <c r="H29" s="11">
        <v>0.64777777777777779</v>
      </c>
      <c r="I29" s="11"/>
      <c r="J29" s="11">
        <v>6.9444444444444447E-4</v>
      </c>
      <c r="K29" s="9" t="s">
        <v>59</v>
      </c>
      <c r="L29" s="9" t="s">
        <v>60</v>
      </c>
      <c r="M29" s="9" t="s">
        <v>60</v>
      </c>
      <c r="N29" s="9"/>
      <c r="O29" s="9"/>
      <c r="P29" s="9"/>
      <c r="Q29" s="9"/>
      <c r="R29" s="9"/>
      <c r="S29" s="9">
        <v>1</v>
      </c>
      <c r="T29" s="9"/>
      <c r="U29" s="9"/>
      <c r="V29" s="9"/>
      <c r="W29" s="9"/>
      <c r="X29" s="9"/>
      <c r="Y29" s="9"/>
      <c r="Z29" s="9"/>
      <c r="AA29" s="9"/>
      <c r="AB29" s="9"/>
      <c r="AC29" s="9">
        <v>1</v>
      </c>
      <c r="AD29" s="9"/>
      <c r="AE29" s="9">
        <v>3</v>
      </c>
      <c r="AF29" s="9">
        <v>2</v>
      </c>
      <c r="AG29" s="9">
        <v>1</v>
      </c>
      <c r="AH29" s="9"/>
      <c r="AI29" s="9"/>
      <c r="AJ29" s="9"/>
      <c r="AK29" s="9"/>
      <c r="AL29" s="9"/>
      <c r="AM29" s="9">
        <v>1</v>
      </c>
      <c r="AN29" s="9"/>
      <c r="AO29" s="9"/>
      <c r="AP29" s="9">
        <v>1</v>
      </c>
      <c r="AQ29" s="9"/>
      <c r="AR29" s="9"/>
      <c r="AS29" s="9"/>
      <c r="AT29" s="9"/>
      <c r="AU29" s="9"/>
      <c r="AV29" s="9">
        <v>1</v>
      </c>
      <c r="AW29" s="9"/>
      <c r="AX29" s="9"/>
      <c r="AY29" s="9" t="s">
        <v>112</v>
      </c>
      <c r="AZ29" s="6"/>
    </row>
    <row r="30" spans="1:52" x14ac:dyDescent="0.2">
      <c r="A30" s="15">
        <v>28</v>
      </c>
      <c r="B30" s="9">
        <v>38.380188960581997</v>
      </c>
      <c r="C30" s="9">
        <f>-28.3450309932231</f>
        <v>-28.345030993223101</v>
      </c>
      <c r="D30" s="10">
        <v>43311</v>
      </c>
      <c r="E30" s="25" t="s">
        <v>141</v>
      </c>
      <c r="F30" s="25" t="s">
        <v>114</v>
      </c>
      <c r="G30" s="25" t="s">
        <v>138</v>
      </c>
      <c r="H30" s="11">
        <v>0.39103009259259264</v>
      </c>
      <c r="I30" s="11"/>
      <c r="J30" s="11">
        <v>6.9444444444444447E-4</v>
      </c>
      <c r="K30" s="9" t="s">
        <v>61</v>
      </c>
      <c r="L30" s="9" t="s">
        <v>62</v>
      </c>
      <c r="M30" s="9" t="s">
        <v>62</v>
      </c>
      <c r="N30" s="9"/>
      <c r="O30" s="9"/>
      <c r="P30" s="9"/>
      <c r="Q30" s="9"/>
      <c r="R30" s="9">
        <v>1</v>
      </c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>
        <v>5</v>
      </c>
      <c r="AF30" s="9">
        <v>3</v>
      </c>
      <c r="AG30" s="9">
        <v>2</v>
      </c>
      <c r="AH30" s="9"/>
      <c r="AI30" s="9"/>
      <c r="AJ30" s="9"/>
      <c r="AK30" s="9"/>
      <c r="AL30" s="9">
        <v>1</v>
      </c>
      <c r="AM30" s="9"/>
      <c r="AN30" s="9"/>
      <c r="AO30" s="9"/>
      <c r="AP30" s="9"/>
      <c r="AQ30" s="9">
        <v>1</v>
      </c>
      <c r="AR30" s="9"/>
      <c r="AS30" s="9"/>
      <c r="AT30" s="9"/>
      <c r="AU30" s="9"/>
      <c r="AV30" s="9">
        <v>1</v>
      </c>
      <c r="AW30" s="9"/>
      <c r="AX30" s="9"/>
      <c r="AY30" s="9" t="s">
        <v>112</v>
      </c>
      <c r="AZ30" s="6"/>
    </row>
    <row r="31" spans="1:52" x14ac:dyDescent="0.2">
      <c r="A31" s="15">
        <v>29</v>
      </c>
      <c r="B31" s="9">
        <v>38.332615038379998</v>
      </c>
      <c r="C31" s="9">
        <f>-28.0324350390583</f>
        <v>-28.032435039058299</v>
      </c>
      <c r="D31" s="10">
        <v>43319</v>
      </c>
      <c r="E31" s="25" t="s">
        <v>114</v>
      </c>
      <c r="F31" s="25" t="s">
        <v>123</v>
      </c>
      <c r="G31" s="25" t="s">
        <v>138</v>
      </c>
      <c r="H31" s="11">
        <v>0.46476851851851847</v>
      </c>
      <c r="I31" s="11">
        <v>0.46702546296296293</v>
      </c>
      <c r="J31" s="11">
        <f t="shared" si="0"/>
        <v>2.2569444444444642E-3</v>
      </c>
      <c r="K31" s="9" t="s">
        <v>63</v>
      </c>
      <c r="L31" s="9" t="s">
        <v>4</v>
      </c>
      <c r="M31" s="9" t="s">
        <v>65</v>
      </c>
      <c r="N31" s="9"/>
      <c r="O31" s="9"/>
      <c r="P31" s="9"/>
      <c r="Q31" s="9"/>
      <c r="R31" s="9">
        <v>1</v>
      </c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>
        <v>5</v>
      </c>
      <c r="AF31" s="9">
        <v>5</v>
      </c>
      <c r="AG31" s="9"/>
      <c r="AH31" s="9"/>
      <c r="AI31" s="9"/>
      <c r="AJ31" s="9"/>
      <c r="AK31" s="9"/>
      <c r="AL31" s="9">
        <v>1</v>
      </c>
      <c r="AM31" s="9"/>
      <c r="AN31" s="9"/>
      <c r="AO31" s="9"/>
      <c r="AP31" s="9"/>
      <c r="AQ31" s="9">
        <v>1</v>
      </c>
      <c r="AR31" s="9"/>
      <c r="AS31" s="9"/>
      <c r="AT31" s="9"/>
      <c r="AU31" s="9"/>
      <c r="AV31" s="9">
        <v>1</v>
      </c>
      <c r="AW31" s="9"/>
      <c r="AX31" s="9"/>
      <c r="AY31" s="9" t="s">
        <v>112</v>
      </c>
      <c r="AZ31" s="6"/>
    </row>
    <row r="32" spans="1:52" x14ac:dyDescent="0.2">
      <c r="A32" s="15">
        <v>30</v>
      </c>
      <c r="B32" s="9">
        <v>38.374576019123097</v>
      </c>
      <c r="C32" s="9">
        <f>-28.3584339916706</f>
        <v>-28.358433991670601</v>
      </c>
      <c r="D32" s="10">
        <v>43332</v>
      </c>
      <c r="E32" s="25" t="s">
        <v>142</v>
      </c>
      <c r="F32" s="25" t="s">
        <v>123</v>
      </c>
      <c r="G32" s="25" t="s">
        <v>138</v>
      </c>
      <c r="H32" s="11">
        <v>0.6199189814814815</v>
      </c>
      <c r="I32" s="11"/>
      <c r="J32" s="11">
        <v>6.9444444444444447E-4</v>
      </c>
      <c r="K32" s="9" t="s">
        <v>66</v>
      </c>
      <c r="L32" s="9" t="s">
        <v>67</v>
      </c>
      <c r="M32" s="9" t="s">
        <v>67</v>
      </c>
      <c r="N32" s="9"/>
      <c r="O32" s="9"/>
      <c r="P32" s="9"/>
      <c r="Q32" s="9"/>
      <c r="R32" s="9"/>
      <c r="S32" s="9">
        <v>1</v>
      </c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>
        <v>1</v>
      </c>
      <c r="AF32" s="9">
        <v>1</v>
      </c>
      <c r="AG32" s="9"/>
      <c r="AH32" s="9"/>
      <c r="AI32" s="9"/>
      <c r="AJ32" s="9"/>
      <c r="AK32" s="9">
        <v>1</v>
      </c>
      <c r="AL32" s="9"/>
      <c r="AM32" s="9"/>
      <c r="AN32" s="9"/>
      <c r="AO32" s="9">
        <v>1</v>
      </c>
      <c r="AP32" s="9"/>
      <c r="AQ32" s="9"/>
      <c r="AR32" s="9"/>
      <c r="AS32" s="9"/>
      <c r="AT32" s="9"/>
      <c r="AU32" s="9"/>
      <c r="AV32" s="9">
        <v>1</v>
      </c>
      <c r="AW32" s="9"/>
      <c r="AX32" s="9"/>
      <c r="AY32" s="9" t="s">
        <v>112</v>
      </c>
      <c r="AZ32" s="6"/>
    </row>
    <row r="33" spans="1:52" x14ac:dyDescent="0.2">
      <c r="A33" s="15">
        <v>31</v>
      </c>
      <c r="B33" s="9">
        <v>38.383507020771503</v>
      </c>
      <c r="C33" s="9">
        <f>-28.2909070327878</f>
        <v>-28.2909070327878</v>
      </c>
      <c r="D33" s="10">
        <v>43340</v>
      </c>
      <c r="E33" s="25" t="s">
        <v>131</v>
      </c>
      <c r="F33" s="25" t="s">
        <v>123</v>
      </c>
      <c r="G33" s="25" t="s">
        <v>138</v>
      </c>
      <c r="H33" s="11">
        <v>0.40634259259259259</v>
      </c>
      <c r="I33" s="11"/>
      <c r="J33" s="11">
        <v>6.9444444444444447E-4</v>
      </c>
      <c r="K33" s="9" t="s">
        <v>68</v>
      </c>
      <c r="L33" s="9" t="s">
        <v>69</v>
      </c>
      <c r="M33" s="9" t="s">
        <v>69</v>
      </c>
      <c r="N33" s="9"/>
      <c r="O33" s="9"/>
      <c r="P33" s="9"/>
      <c r="Q33" s="9"/>
      <c r="R33" s="9"/>
      <c r="S33" s="9">
        <v>1</v>
      </c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>
        <v>5</v>
      </c>
      <c r="AF33" s="9">
        <v>5</v>
      </c>
      <c r="AG33" s="9"/>
      <c r="AH33" s="9"/>
      <c r="AI33" s="9"/>
      <c r="AJ33" s="9"/>
      <c r="AK33" s="9"/>
      <c r="AL33" s="9">
        <v>1</v>
      </c>
      <c r="AM33" s="9"/>
      <c r="AN33" s="9"/>
      <c r="AO33" s="9">
        <v>1</v>
      </c>
      <c r="AP33" s="9"/>
      <c r="AQ33" s="9"/>
      <c r="AR33" s="9"/>
      <c r="AS33" s="9"/>
      <c r="AT33" s="9"/>
      <c r="AU33" s="9"/>
      <c r="AV33" s="9">
        <v>1</v>
      </c>
      <c r="AW33" s="9"/>
      <c r="AX33" s="9"/>
      <c r="AY33" s="9" t="s">
        <v>112</v>
      </c>
      <c r="AZ33" s="6"/>
    </row>
    <row r="34" spans="1:52" ht="17" thickBot="1" x14ac:dyDescent="0.25">
      <c r="A34" s="15">
        <v>32</v>
      </c>
      <c r="B34" s="17">
        <v>38.366794008761602</v>
      </c>
      <c r="C34" s="17">
        <f>-28.1730759982019</f>
        <v>-28.173075998201899</v>
      </c>
      <c r="D34" s="18">
        <v>43341</v>
      </c>
      <c r="E34" s="26" t="s">
        <v>143</v>
      </c>
      <c r="F34" s="26" t="s">
        <v>123</v>
      </c>
      <c r="G34" s="26" t="s">
        <v>138</v>
      </c>
      <c r="H34" s="19">
        <v>0.48491898148148144</v>
      </c>
      <c r="I34" s="19"/>
      <c r="J34" s="19">
        <v>6.9444444444444447E-4</v>
      </c>
      <c r="K34" s="17" t="s">
        <v>70</v>
      </c>
      <c r="L34" s="17" t="s">
        <v>71</v>
      </c>
      <c r="M34" s="17" t="s">
        <v>71</v>
      </c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>
        <v>1</v>
      </c>
      <c r="AE34" s="17">
        <v>3</v>
      </c>
      <c r="AF34" s="17">
        <v>3</v>
      </c>
      <c r="AG34" s="17"/>
      <c r="AH34" s="17"/>
      <c r="AI34" s="17"/>
      <c r="AJ34" s="17"/>
      <c r="AK34" s="17"/>
      <c r="AL34" s="17"/>
      <c r="AM34" s="17"/>
      <c r="AN34" s="17">
        <v>1</v>
      </c>
      <c r="AO34" s="17"/>
      <c r="AP34" s="17"/>
      <c r="AQ34" s="17"/>
      <c r="AR34" s="17">
        <v>1</v>
      </c>
      <c r="AS34" s="17"/>
      <c r="AT34" s="17"/>
      <c r="AU34" s="17"/>
      <c r="AV34" s="17">
        <v>3</v>
      </c>
      <c r="AW34" s="17"/>
      <c r="AX34" s="17"/>
      <c r="AY34" s="17" t="s">
        <v>112</v>
      </c>
      <c r="AZ34" s="20"/>
    </row>
  </sheetData>
  <mergeCells count="4">
    <mergeCell ref="N1:AD1"/>
    <mergeCell ref="AE1:AJ1"/>
    <mergeCell ref="AK1:AN1"/>
    <mergeCell ref="AO1:A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All</vt:lpstr>
      <vt:lpstr>Análise</vt:lpstr>
      <vt:lpstr>Posições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Santos</dc:creator>
  <cp:lastModifiedBy>Rui Santos</cp:lastModifiedBy>
  <dcterms:created xsi:type="dcterms:W3CDTF">2019-07-30T13:10:41Z</dcterms:created>
  <dcterms:modified xsi:type="dcterms:W3CDTF">2023-12-20T16:08:14Z</dcterms:modified>
</cp:coreProperties>
</file>