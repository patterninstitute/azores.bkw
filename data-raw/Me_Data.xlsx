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santos/Desktop/Github/azores.breeding-main/data-raw/"/>
    </mc:Choice>
  </mc:AlternateContent>
  <xr:revisionPtr revIDLastSave="0" documentId="13_ncr:1_{4B94EB73-F6BB-5F4E-A9B4-57C9B2EE0443}" xr6:coauthVersionLast="47" xr6:coauthVersionMax="47" xr10:uidLastSave="{00000000-0000-0000-0000-000000000000}"/>
  <bookViews>
    <workbookView xWindow="280" yWindow="760" windowWidth="29960" windowHeight="16080" activeTab="3" xr2:uid="{281E5CFB-60AD-7047-9990-7F2B50D2B681}"/>
  </bookViews>
  <sheets>
    <sheet name="ALL" sheetId="1" r:id="rId1"/>
    <sheet name="Análise" sheetId="2" r:id="rId2"/>
    <sheet name="Posições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3" l="1"/>
  <c r="C13" i="3"/>
  <c r="C12" i="3"/>
  <c r="C11" i="3"/>
  <c r="C10" i="3"/>
  <c r="C9" i="3"/>
  <c r="C8" i="3"/>
  <c r="C7" i="3"/>
  <c r="C6" i="3"/>
  <c r="C5" i="3"/>
  <c r="C4" i="3"/>
  <c r="C3" i="3"/>
  <c r="C2" i="3"/>
  <c r="J15" i="4"/>
  <c r="C15" i="4"/>
  <c r="J14" i="4"/>
  <c r="C14" i="4"/>
  <c r="C13" i="4"/>
  <c r="C12" i="4"/>
  <c r="C11" i="4"/>
  <c r="C10" i="4"/>
  <c r="C9" i="4"/>
  <c r="C8" i="4"/>
  <c r="C7" i="4"/>
  <c r="C6" i="4"/>
  <c r="C5" i="4"/>
  <c r="J4" i="4"/>
  <c r="C4" i="4"/>
  <c r="C3" i="4"/>
  <c r="G4" i="2"/>
  <c r="G14" i="2"/>
  <c r="G15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<sst xmlns="http://schemas.openxmlformats.org/spreadsheetml/2006/main" count="376" uniqueCount="100">
  <si>
    <t>lat</t>
  </si>
  <si>
    <t>lon</t>
  </si>
  <si>
    <t>name</t>
  </si>
  <si>
    <t>ME_20120524.01</t>
  </si>
  <si>
    <t>ME TS 2 I 3</t>
  </si>
  <si>
    <t>ME_20120707.01B</t>
  </si>
  <si>
    <t>ME</t>
  </si>
  <si>
    <t>ME_20120707.01E</t>
  </si>
  <si>
    <t>ME NI 4 NI NI</t>
  </si>
  <si>
    <t>ME_20120719.01</t>
  </si>
  <si>
    <t>ME TS H 3 I 2</t>
  </si>
  <si>
    <t>ME_20130704.01</t>
  </si>
  <si>
    <t>ME TS 3  1</t>
  </si>
  <si>
    <t>ME_20130720.01</t>
  </si>
  <si>
    <t>ME TS 2</t>
  </si>
  <si>
    <t>ME_20140625.01</t>
  </si>
  <si>
    <t>ME TA 6 2 I 2</t>
  </si>
  <si>
    <t>ME_20140707.01</t>
  </si>
  <si>
    <t>ME TS 1 I 0</t>
  </si>
  <si>
    <t>ME_20150524.01</t>
  </si>
  <si>
    <t>ME TS 3 I 1 3</t>
  </si>
  <si>
    <t>ME_20150623.01</t>
  </si>
  <si>
    <t>ME TS 2 I 1 1</t>
  </si>
  <si>
    <t>ME_20150724.01</t>
  </si>
  <si>
    <t>ME M 2 A 3 1</t>
  </si>
  <si>
    <t>ME_20160513.01</t>
  </si>
  <si>
    <t>ME TS 3 I 2 4</t>
  </si>
  <si>
    <t>ME_20160726.01B</t>
  </si>
  <si>
    <t>ME_20160726.01E</t>
  </si>
  <si>
    <t>ME TF BR 2 1 I 2 3</t>
  </si>
  <si>
    <t>ME_20160801.01B</t>
  </si>
  <si>
    <t>ME_20160801.01E</t>
  </si>
  <si>
    <t>ME TA BS M 5 A 1 1</t>
  </si>
  <si>
    <t>Sighting</t>
  </si>
  <si>
    <t>Date</t>
  </si>
  <si>
    <t>Time</t>
  </si>
  <si>
    <t>Behaviour</t>
  </si>
  <si>
    <t>Time F</t>
  </si>
  <si>
    <t>Time Stayed</t>
  </si>
  <si>
    <t>Time i</t>
  </si>
  <si>
    <t>Behavior</t>
  </si>
  <si>
    <t>Group Compositon</t>
  </si>
  <si>
    <t>Boat Presence</t>
  </si>
  <si>
    <t>Beaufort</t>
  </si>
  <si>
    <t>FO</t>
  </si>
  <si>
    <t>M</t>
  </si>
  <si>
    <t>R</t>
  </si>
  <si>
    <t>TF</t>
  </si>
  <si>
    <t>TA</t>
  </si>
  <si>
    <t>TS</t>
  </si>
  <si>
    <t>SO</t>
  </si>
  <si>
    <t>BR</t>
  </si>
  <si>
    <t xml:space="preserve">LB </t>
  </si>
  <si>
    <t>FL</t>
  </si>
  <si>
    <t>SP</t>
  </si>
  <si>
    <t>OT</t>
  </si>
  <si>
    <t>BS</t>
  </si>
  <si>
    <t>BF</t>
  </si>
  <si>
    <t>BB</t>
  </si>
  <si>
    <t>H</t>
  </si>
  <si>
    <t>NI</t>
  </si>
  <si>
    <t>Max</t>
  </si>
  <si>
    <t>Ad</t>
  </si>
  <si>
    <t>J</t>
  </si>
  <si>
    <t>C</t>
  </si>
  <si>
    <t>NB</t>
  </si>
  <si>
    <t>A</t>
  </si>
  <si>
    <t>I</t>
  </si>
  <si>
    <t>E</t>
  </si>
  <si>
    <t>Ni</t>
  </si>
  <si>
    <t>CC</t>
  </si>
  <si>
    <t>DT</t>
  </si>
  <si>
    <t>Group</t>
  </si>
  <si>
    <t>OT. Species</t>
  </si>
  <si>
    <t>NO</t>
  </si>
  <si>
    <t xml:space="preserve">Time </t>
  </si>
  <si>
    <t>24</t>
  </si>
  <si>
    <t>05</t>
  </si>
  <si>
    <t>2012</t>
  </si>
  <si>
    <t>07</t>
  </si>
  <si>
    <t>19</t>
  </si>
  <si>
    <t>04</t>
  </si>
  <si>
    <t>2013</t>
  </si>
  <si>
    <t>20</t>
  </si>
  <si>
    <t>25</t>
  </si>
  <si>
    <t>06</t>
  </si>
  <si>
    <t>2014</t>
  </si>
  <si>
    <t>2015</t>
  </si>
  <si>
    <t>23</t>
  </si>
  <si>
    <t>13</t>
  </si>
  <si>
    <t>2016</t>
  </si>
  <si>
    <t>26</t>
  </si>
  <si>
    <t>01</t>
  </si>
  <si>
    <t>08</t>
  </si>
  <si>
    <t>Day</t>
  </si>
  <si>
    <t>Month</t>
  </si>
  <si>
    <t>Year</t>
  </si>
  <si>
    <t>Time f</t>
  </si>
  <si>
    <t>MM_20160801.01B</t>
  </si>
  <si>
    <t>MM TA BS M 5 A 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</si>
</sst>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14" fontId="0" fillId="0" borderId="3" xfId="0" applyNumberFormat="1" applyBorder="1"/>
    <xf numFmtId="21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1" fontId="0" fillId="0" borderId="8" xfId="0" applyNumberFormat="1" applyBorder="1"/>
    <xf numFmtId="0" fontId="0" fillId="0" borderId="9" xfId="0" applyBorder="1"/>
    <xf numFmtId="49" fontId="0" fillId="0" borderId="3" xfId="0" applyNumberFormat="1" applyBorder="1"/>
    <xf numFmtId="49" fontId="0" fillId="0" borderId="8" xfId="0" applyNumberFormat="1" applyBorder="1"/>
    <xf numFmtId="4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D75A-3319-6D40-B648-3710F35EDFB5}">
  <dimension ref="A2:G18"/>
  <sheetViews>
    <sheetView workbookViewId="0">
      <selection sqref="A1:G1048576"/>
    </sheetView>
  </sheetViews>
  <sheetFormatPr baseColWidth="10" defaultRowHeight="16" x14ac:dyDescent="0.2"/>
  <cols>
    <col min="4" max="4" width="19.6640625" bestFit="1" customWidth="1"/>
    <col min="5" max="5" width="19.6640625" customWidth="1"/>
    <col min="6" max="6" width="16.6640625" bestFit="1" customWidth="1"/>
    <col min="7" max="7" width="17.6640625" bestFit="1" customWidth="1"/>
  </cols>
  <sheetData>
    <row r="2" spans="1:7" x14ac:dyDescent="0.2">
      <c r="A2" t="s">
        <v>33</v>
      </c>
      <c r="B2" t="s">
        <v>0</v>
      </c>
      <c r="C2" t="s">
        <v>1</v>
      </c>
      <c r="D2" t="s">
        <v>34</v>
      </c>
      <c r="E2" t="s">
        <v>35</v>
      </c>
      <c r="F2" t="s">
        <v>2</v>
      </c>
      <c r="G2" t="s">
        <v>36</v>
      </c>
    </row>
    <row r="3" spans="1:7" x14ac:dyDescent="0.2">
      <c r="A3">
        <v>1</v>
      </c>
      <c r="B3">
        <v>38.324695983901599</v>
      </c>
      <c r="C3">
        <f>-28.2326379697769</f>
        <v>-28.232637969776899</v>
      </c>
      <c r="D3" s="1">
        <v>41053</v>
      </c>
      <c r="E3" s="2">
        <v>0.43174768518518519</v>
      </c>
      <c r="F3" t="s">
        <v>3</v>
      </c>
      <c r="G3" t="s">
        <v>4</v>
      </c>
    </row>
    <row r="4" spans="1:7" x14ac:dyDescent="0.2">
      <c r="A4">
        <v>2</v>
      </c>
      <c r="B4">
        <v>38.224352030083502</v>
      </c>
      <c r="C4">
        <f>-28.1521980185061</f>
        <v>-28.152198018506098</v>
      </c>
      <c r="D4" s="1">
        <v>41097</v>
      </c>
      <c r="E4" s="2">
        <v>0.71579861111111109</v>
      </c>
      <c r="F4" t="s">
        <v>5</v>
      </c>
      <c r="G4" t="s">
        <v>6</v>
      </c>
    </row>
    <row r="5" spans="1:7" x14ac:dyDescent="0.2">
      <c r="A5">
        <v>3</v>
      </c>
      <c r="B5">
        <v>38.223557006567702</v>
      </c>
      <c r="C5">
        <f>-28.1501860264688</f>
        <v>-28.150186026468798</v>
      </c>
      <c r="D5" s="1">
        <v>41097</v>
      </c>
      <c r="E5" s="2">
        <v>0.71988425925925925</v>
      </c>
      <c r="F5" t="s">
        <v>7</v>
      </c>
      <c r="G5" t="s">
        <v>8</v>
      </c>
    </row>
    <row r="6" spans="1:7" x14ac:dyDescent="0.2">
      <c r="A6">
        <v>4</v>
      </c>
      <c r="B6">
        <v>38.341100038960498</v>
      </c>
      <c r="C6">
        <f>-28.1005240045487</f>
        <v>-28.100524004548699</v>
      </c>
      <c r="D6" s="1">
        <v>41109</v>
      </c>
      <c r="E6" s="2">
        <v>0.65366898148148145</v>
      </c>
      <c r="F6" t="s">
        <v>9</v>
      </c>
      <c r="G6" t="s">
        <v>10</v>
      </c>
    </row>
    <row r="7" spans="1:7" x14ac:dyDescent="0.2">
      <c r="A7">
        <v>5</v>
      </c>
      <c r="B7">
        <v>38.348579965531798</v>
      </c>
      <c r="C7">
        <f>-28.2700550369918</f>
        <v>-28.270055036991799</v>
      </c>
      <c r="D7" s="1">
        <v>41459</v>
      </c>
      <c r="E7" s="2">
        <v>0.4259722222222222</v>
      </c>
      <c r="F7" t="s">
        <v>11</v>
      </c>
      <c r="G7" t="s">
        <v>12</v>
      </c>
    </row>
    <row r="8" spans="1:7" x14ac:dyDescent="0.2">
      <c r="A8">
        <v>6</v>
      </c>
      <c r="B8">
        <v>38.3217230066657</v>
      </c>
      <c r="C8">
        <f>-28.2107909582555</f>
        <v>-28.210790958255501</v>
      </c>
      <c r="D8" s="1">
        <v>41475</v>
      </c>
      <c r="E8" s="2">
        <v>0.4390162037037037</v>
      </c>
      <c r="F8" t="s">
        <v>13</v>
      </c>
      <c r="G8" t="s">
        <v>14</v>
      </c>
    </row>
    <row r="9" spans="1:7" x14ac:dyDescent="0.2">
      <c r="A9">
        <v>7</v>
      </c>
      <c r="B9">
        <v>38.3353430125862</v>
      </c>
      <c r="C9">
        <f>-28.3160290215164</f>
        <v>-28.3160290215164</v>
      </c>
      <c r="D9" s="1">
        <v>41815</v>
      </c>
      <c r="E9" s="2">
        <v>0.71498842592592593</v>
      </c>
      <c r="F9" t="s">
        <v>15</v>
      </c>
      <c r="G9" t="s">
        <v>16</v>
      </c>
    </row>
    <row r="10" spans="1:7" x14ac:dyDescent="0.2">
      <c r="A10">
        <v>8</v>
      </c>
      <c r="B10">
        <v>38.319536000490103</v>
      </c>
      <c r="C10">
        <f>-28.1676700059324</f>
        <v>-28.167670005932401</v>
      </c>
      <c r="D10" s="1">
        <v>41827</v>
      </c>
      <c r="E10" s="2">
        <v>0.69761574074074073</v>
      </c>
      <c r="F10" t="s">
        <v>17</v>
      </c>
      <c r="G10" t="s">
        <v>18</v>
      </c>
    </row>
    <row r="11" spans="1:7" x14ac:dyDescent="0.2">
      <c r="A11">
        <v>9</v>
      </c>
      <c r="B11">
        <v>38.271651025861502</v>
      </c>
      <c r="C11">
        <f>-28.3284410275518</f>
        <v>-28.328441027551801</v>
      </c>
      <c r="D11" s="1">
        <v>42148</v>
      </c>
      <c r="E11" s="2">
        <v>0.70489583333333339</v>
      </c>
      <c r="F11" t="s">
        <v>19</v>
      </c>
      <c r="G11" t="s">
        <v>20</v>
      </c>
    </row>
    <row r="12" spans="1:7" x14ac:dyDescent="0.2">
      <c r="A12">
        <v>10</v>
      </c>
      <c r="B12">
        <v>38.353769034147199</v>
      </c>
      <c r="C12">
        <f>-28.1249900255352</f>
        <v>-28.124990025535201</v>
      </c>
      <c r="D12" s="1">
        <v>42178</v>
      </c>
      <c r="E12" s="2">
        <v>0.42664351851851851</v>
      </c>
      <c r="F12" t="s">
        <v>21</v>
      </c>
      <c r="G12" t="s">
        <v>22</v>
      </c>
    </row>
    <row r="13" spans="1:7" x14ac:dyDescent="0.2">
      <c r="A13">
        <v>11</v>
      </c>
      <c r="B13">
        <v>38.358210017904597</v>
      </c>
      <c r="C13">
        <f>-28.2776610273867</f>
        <v>-28.277661027386699</v>
      </c>
      <c r="D13" s="1">
        <v>42209</v>
      </c>
      <c r="E13" s="2">
        <v>0.50667824074074075</v>
      </c>
      <c r="F13" t="s">
        <v>23</v>
      </c>
      <c r="G13" t="s">
        <v>24</v>
      </c>
    </row>
    <row r="14" spans="1:7" x14ac:dyDescent="0.2">
      <c r="A14">
        <v>12</v>
      </c>
      <c r="B14">
        <v>38.3638809621334</v>
      </c>
      <c r="C14">
        <f>-28.1515480019152</f>
        <v>-28.151548001915199</v>
      </c>
      <c r="D14" s="1">
        <v>42503</v>
      </c>
      <c r="E14" s="2">
        <v>0.54343750000000002</v>
      </c>
      <c r="F14" t="s">
        <v>25</v>
      </c>
      <c r="G14" t="s">
        <v>26</v>
      </c>
    </row>
    <row r="15" spans="1:7" x14ac:dyDescent="0.2">
      <c r="A15">
        <v>13</v>
      </c>
      <c r="B15">
        <v>38.379625026136601</v>
      </c>
      <c r="C15">
        <f>-28.3273859973996</f>
        <v>-28.327385997399599</v>
      </c>
      <c r="D15" s="1">
        <v>42577</v>
      </c>
      <c r="E15" s="2">
        <v>0.41416666666666663</v>
      </c>
      <c r="F15" t="s">
        <v>27</v>
      </c>
      <c r="G15" t="s">
        <v>6</v>
      </c>
    </row>
    <row r="16" spans="1:7" x14ac:dyDescent="0.2">
      <c r="A16">
        <v>14</v>
      </c>
      <c r="B16">
        <v>38.3841260243207</v>
      </c>
      <c r="C16">
        <f>-28.345936993137</f>
        <v>-28.345936993136998</v>
      </c>
      <c r="D16" s="1">
        <v>42577</v>
      </c>
      <c r="E16" s="2">
        <v>0.42006944444444444</v>
      </c>
      <c r="F16" t="s">
        <v>28</v>
      </c>
      <c r="G16" t="s">
        <v>29</v>
      </c>
    </row>
    <row r="17" spans="1:7" x14ac:dyDescent="0.2">
      <c r="A17">
        <v>15</v>
      </c>
      <c r="B17">
        <v>38.302966989576802</v>
      </c>
      <c r="C17">
        <f>-28.1788279954344</f>
        <v>-28.1788279954344</v>
      </c>
      <c r="D17" s="1">
        <v>42583</v>
      </c>
      <c r="E17" s="2">
        <v>0.65631944444444446</v>
      </c>
      <c r="F17" t="s">
        <v>30</v>
      </c>
      <c r="G17" t="s">
        <v>6</v>
      </c>
    </row>
    <row r="18" spans="1:7" x14ac:dyDescent="0.2">
      <c r="A18">
        <v>16</v>
      </c>
      <c r="B18">
        <v>38.299466958269399</v>
      </c>
      <c r="C18">
        <f>-28.1825609598308</f>
        <v>-28.182560959830798</v>
      </c>
      <c r="D18" s="1">
        <v>42583</v>
      </c>
      <c r="E18" s="2">
        <v>0.66282407407407407</v>
      </c>
      <c r="F18" t="s">
        <v>31</v>
      </c>
      <c r="G1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D46F-BB25-5A47-B1B6-D7BB68F9190D}">
  <dimension ref="A1:AW15"/>
  <sheetViews>
    <sheetView zoomScale="114" workbookViewId="0">
      <selection sqref="A1:H1048576"/>
    </sheetView>
  </sheetViews>
  <sheetFormatPr baseColWidth="10" defaultRowHeight="16" x14ac:dyDescent="0.2"/>
  <cols>
    <col min="4" max="4" width="19.6640625" bestFit="1" customWidth="1"/>
    <col min="5" max="7" width="19.6640625" customWidth="1"/>
    <col min="8" max="8" width="16.6640625" bestFit="1" customWidth="1"/>
    <col min="9" max="10" width="17.6640625" bestFit="1" customWidth="1"/>
    <col min="11" max="11" width="3.83203125" bestFit="1" customWidth="1"/>
    <col min="12" max="13" width="3.1640625" bestFit="1" customWidth="1"/>
    <col min="14" max="14" width="4.33203125" bestFit="1" customWidth="1"/>
    <col min="15" max="15" width="4.5" bestFit="1" customWidth="1"/>
    <col min="16" max="16" width="4.33203125" bestFit="1" customWidth="1"/>
    <col min="17" max="17" width="4.6640625" bestFit="1" customWidth="1"/>
    <col min="18" max="18" width="4.83203125" bestFit="1" customWidth="1"/>
    <col min="19" max="19" width="5.1640625" bestFit="1" customWidth="1"/>
    <col min="20" max="20" width="4.33203125" bestFit="1" customWidth="1"/>
    <col min="21" max="22" width="4.5" bestFit="1" customWidth="1"/>
    <col min="23" max="23" width="4.6640625" bestFit="1" customWidth="1"/>
    <col min="24" max="24" width="4.5" bestFit="1" customWidth="1"/>
    <col min="25" max="25" width="4.83203125" bestFit="1" customWidth="1"/>
    <col min="26" max="26" width="3.1640625" bestFit="1" customWidth="1"/>
    <col min="27" max="27" width="3.6640625" bestFit="1" customWidth="1"/>
    <col min="28" max="28" width="5.83203125" bestFit="1" customWidth="1"/>
    <col min="29" max="29" width="4.5" bestFit="1" customWidth="1"/>
    <col min="30" max="30" width="2.6640625" bestFit="1" customWidth="1"/>
    <col min="31" max="31" width="3.1640625" bestFit="1" customWidth="1"/>
    <col min="32" max="32" width="4.83203125" bestFit="1" customWidth="1"/>
    <col min="33" max="33" width="3.6640625" bestFit="1" customWidth="1"/>
    <col min="34" max="34" width="3.1640625" bestFit="1" customWidth="1"/>
    <col min="35" max="35" width="2.1640625" bestFit="1" customWidth="1"/>
    <col min="36" max="36" width="3" bestFit="1" customWidth="1"/>
    <col min="37" max="37" width="3.6640625" bestFit="1" customWidth="1"/>
    <col min="38" max="43" width="2.6640625" bestFit="1" customWidth="1"/>
    <col min="44" max="44" width="3.6640625" bestFit="1" customWidth="1"/>
    <col min="45" max="45" width="4.83203125" bestFit="1" customWidth="1"/>
    <col min="46" max="46" width="4.5" bestFit="1" customWidth="1"/>
    <col min="47" max="47" width="3.6640625" customWidth="1"/>
    <col min="48" max="48" width="3.5" customWidth="1"/>
  </cols>
  <sheetData>
    <row r="1" spans="1:49" ht="18" x14ac:dyDescent="0.2">
      <c r="A1" s="12"/>
      <c r="B1" s="3"/>
      <c r="C1" s="3"/>
      <c r="D1" s="3"/>
      <c r="E1" s="3"/>
      <c r="F1" s="3"/>
      <c r="G1" s="3"/>
      <c r="H1" s="3"/>
      <c r="I1" s="3"/>
      <c r="J1" s="3"/>
      <c r="K1" s="22" t="s">
        <v>40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 t="s">
        <v>41</v>
      </c>
      <c r="AC1" s="22"/>
      <c r="AD1" s="22"/>
      <c r="AE1" s="22"/>
      <c r="AF1" s="22"/>
      <c r="AG1" s="22"/>
      <c r="AH1" s="22" t="s">
        <v>42</v>
      </c>
      <c r="AI1" s="22"/>
      <c r="AJ1" s="22"/>
      <c r="AK1" s="22"/>
      <c r="AL1" s="22" t="s">
        <v>43</v>
      </c>
      <c r="AM1" s="22"/>
      <c r="AN1" s="22"/>
      <c r="AO1" s="22"/>
      <c r="AP1" s="22"/>
      <c r="AQ1" s="22"/>
      <c r="AR1" s="22"/>
      <c r="AS1" s="3"/>
      <c r="AT1" s="3"/>
      <c r="AU1" s="3"/>
      <c r="AV1" s="3"/>
      <c r="AW1" s="4"/>
    </row>
    <row r="2" spans="1:49" ht="18" x14ac:dyDescent="0.2">
      <c r="A2" s="13" t="s">
        <v>33</v>
      </c>
      <c r="B2" s="9" t="s">
        <v>0</v>
      </c>
      <c r="C2" s="9" t="s">
        <v>1</v>
      </c>
      <c r="D2" s="9" t="s">
        <v>34</v>
      </c>
      <c r="E2" s="9" t="s">
        <v>39</v>
      </c>
      <c r="F2" s="9" t="s">
        <v>37</v>
      </c>
      <c r="G2" s="9" t="s">
        <v>38</v>
      </c>
      <c r="H2" s="9" t="s">
        <v>2</v>
      </c>
      <c r="I2" s="9" t="s">
        <v>36</v>
      </c>
      <c r="J2" s="9"/>
      <c r="K2" s="5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6" t="s">
        <v>54</v>
      </c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62</v>
      </c>
      <c r="AD2" s="6" t="s">
        <v>63</v>
      </c>
      <c r="AE2" s="6" t="s">
        <v>64</v>
      </c>
      <c r="AF2" s="6" t="s">
        <v>65</v>
      </c>
      <c r="AG2" s="6" t="s">
        <v>60</v>
      </c>
      <c r="AH2" s="6" t="s">
        <v>66</v>
      </c>
      <c r="AI2" s="7" t="s">
        <v>67</v>
      </c>
      <c r="AJ2" s="6" t="s">
        <v>68</v>
      </c>
      <c r="AK2" s="6" t="s">
        <v>69</v>
      </c>
      <c r="AL2" s="6">
        <v>0</v>
      </c>
      <c r="AM2" s="6">
        <v>1</v>
      </c>
      <c r="AN2" s="6">
        <v>2</v>
      </c>
      <c r="AO2" s="6">
        <v>3</v>
      </c>
      <c r="AP2" s="6">
        <v>4</v>
      </c>
      <c r="AQ2" s="6">
        <v>5</v>
      </c>
      <c r="AR2" s="6" t="s">
        <v>60</v>
      </c>
      <c r="AS2" s="6" t="s">
        <v>70</v>
      </c>
      <c r="AT2" s="6" t="s">
        <v>71</v>
      </c>
      <c r="AU2" s="6" t="s">
        <v>72</v>
      </c>
      <c r="AV2" s="6" t="s">
        <v>73</v>
      </c>
      <c r="AW2" s="8"/>
    </row>
    <row r="3" spans="1:49" x14ac:dyDescent="0.2">
      <c r="A3" s="13">
        <v>1</v>
      </c>
      <c r="B3" s="9">
        <v>38.324695983901599</v>
      </c>
      <c r="C3" s="9">
        <f>-28.2326379697769</f>
        <v>-28.232637969776899</v>
      </c>
      <c r="D3" s="10">
        <v>41053</v>
      </c>
      <c r="E3" s="11">
        <v>0.43174768518518519</v>
      </c>
      <c r="F3" s="11"/>
      <c r="G3" s="11">
        <v>6.9444444444444447E-4</v>
      </c>
      <c r="H3" s="9" t="s">
        <v>3</v>
      </c>
      <c r="I3" s="9" t="s">
        <v>4</v>
      </c>
      <c r="J3" s="9" t="s">
        <v>4</v>
      </c>
      <c r="K3" s="9"/>
      <c r="L3" s="9"/>
      <c r="M3" s="9"/>
      <c r="N3" s="9"/>
      <c r="O3" s="9"/>
      <c r="P3" s="9">
        <v>1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>
        <v>2</v>
      </c>
      <c r="AC3" s="9">
        <v>2</v>
      </c>
      <c r="AD3" s="9"/>
      <c r="AE3" s="9"/>
      <c r="AF3" s="9"/>
      <c r="AG3" s="9"/>
      <c r="AH3" s="9"/>
      <c r="AI3" s="9">
        <v>1</v>
      </c>
      <c r="AJ3" s="9"/>
      <c r="AK3" s="9"/>
      <c r="AL3" s="9"/>
      <c r="AM3" s="9"/>
      <c r="AN3" s="9"/>
      <c r="AO3" s="9">
        <v>1</v>
      </c>
      <c r="AP3" s="9"/>
      <c r="AQ3" s="9"/>
      <c r="AR3" s="9"/>
      <c r="AS3" s="9" t="s">
        <v>60</v>
      </c>
      <c r="AT3" s="9" t="s">
        <v>60</v>
      </c>
      <c r="AU3" s="9"/>
      <c r="AV3" s="9" t="s">
        <v>74</v>
      </c>
      <c r="AW3" s="8"/>
    </row>
    <row r="4" spans="1:49" x14ac:dyDescent="0.2">
      <c r="A4" s="13">
        <v>2</v>
      </c>
      <c r="B4" s="9">
        <v>38.224352030083502</v>
      </c>
      <c r="C4" s="9">
        <f>-28.1521980185061</f>
        <v>-28.152198018506098</v>
      </c>
      <c r="D4" s="10">
        <v>41097</v>
      </c>
      <c r="E4" s="11">
        <v>0.71579861111111109</v>
      </c>
      <c r="F4" s="11">
        <v>0.71988425925925925</v>
      </c>
      <c r="G4" s="11">
        <f t="shared" ref="G4:G15" si="0">F4-E4</f>
        <v>4.0856481481481577E-3</v>
      </c>
      <c r="H4" s="9" t="s">
        <v>5</v>
      </c>
      <c r="I4" s="9" t="s">
        <v>6</v>
      </c>
      <c r="J4" s="9" t="s">
        <v>8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1</v>
      </c>
      <c r="AB4" s="9">
        <v>4</v>
      </c>
      <c r="AC4" s="9">
        <v>4</v>
      </c>
      <c r="AD4" s="9"/>
      <c r="AE4" s="9"/>
      <c r="AF4" s="9"/>
      <c r="AG4" s="9"/>
      <c r="AH4" s="9"/>
      <c r="AI4" s="9"/>
      <c r="AJ4" s="9"/>
      <c r="AK4" s="9">
        <v>1</v>
      </c>
      <c r="AL4" s="9"/>
      <c r="AM4" s="9"/>
      <c r="AN4" s="9"/>
      <c r="AO4" s="9"/>
      <c r="AP4" s="9"/>
      <c r="AQ4" s="9"/>
      <c r="AR4" s="9">
        <v>1</v>
      </c>
      <c r="AS4" s="9" t="s">
        <v>60</v>
      </c>
      <c r="AT4" s="9" t="s">
        <v>60</v>
      </c>
      <c r="AU4" s="9"/>
      <c r="AV4" s="9" t="s">
        <v>74</v>
      </c>
      <c r="AW4" s="8"/>
    </row>
    <row r="5" spans="1:49" x14ac:dyDescent="0.2">
      <c r="A5" s="13">
        <v>3</v>
      </c>
      <c r="B5" s="9">
        <v>38.341100038960498</v>
      </c>
      <c r="C5" s="9">
        <f>-28.1005240045487</f>
        <v>-28.100524004548699</v>
      </c>
      <c r="D5" s="10">
        <v>41109</v>
      </c>
      <c r="E5" s="11">
        <v>0.65366898148148145</v>
      </c>
      <c r="F5" s="11"/>
      <c r="G5" s="11">
        <v>6.9444444444444447E-4</v>
      </c>
      <c r="H5" s="9" t="s">
        <v>9</v>
      </c>
      <c r="I5" s="9" t="s">
        <v>10</v>
      </c>
      <c r="J5" s="9" t="s">
        <v>10</v>
      </c>
      <c r="K5" s="9"/>
      <c r="L5" s="9"/>
      <c r="M5" s="9"/>
      <c r="N5" s="9"/>
      <c r="O5" s="9"/>
      <c r="P5" s="9">
        <v>1</v>
      </c>
      <c r="Q5" s="9"/>
      <c r="R5" s="9"/>
      <c r="S5" s="9"/>
      <c r="T5" s="9"/>
      <c r="U5" s="9"/>
      <c r="V5" s="9"/>
      <c r="W5" s="9"/>
      <c r="X5" s="9"/>
      <c r="Y5" s="9"/>
      <c r="Z5" s="9">
        <v>1</v>
      </c>
      <c r="AA5" s="9"/>
      <c r="AB5" s="9">
        <v>3</v>
      </c>
      <c r="AC5" s="9">
        <v>3</v>
      </c>
      <c r="AD5" s="9"/>
      <c r="AE5" s="9"/>
      <c r="AF5" s="9"/>
      <c r="AG5" s="9"/>
      <c r="AH5" s="9"/>
      <c r="AI5" s="9">
        <v>1</v>
      </c>
      <c r="AJ5" s="9"/>
      <c r="AK5" s="9"/>
      <c r="AL5" s="9"/>
      <c r="AM5" s="9"/>
      <c r="AN5" s="9">
        <v>1</v>
      </c>
      <c r="AO5" s="9"/>
      <c r="AP5" s="9"/>
      <c r="AQ5" s="9"/>
      <c r="AR5" s="9"/>
      <c r="AS5" s="9" t="s">
        <v>60</v>
      </c>
      <c r="AT5" s="9" t="s">
        <v>60</v>
      </c>
      <c r="AU5" s="9"/>
      <c r="AV5" s="9" t="s">
        <v>74</v>
      </c>
      <c r="AW5" s="8"/>
    </row>
    <row r="6" spans="1:49" x14ac:dyDescent="0.2">
      <c r="A6" s="13">
        <v>4</v>
      </c>
      <c r="B6" s="9">
        <v>38.348579965531798</v>
      </c>
      <c r="C6" s="9">
        <f>-28.2700550369918</f>
        <v>-28.270055036991799</v>
      </c>
      <c r="D6" s="10">
        <v>41459</v>
      </c>
      <c r="E6" s="11">
        <v>0.4259722222222222</v>
      </c>
      <c r="F6" s="11"/>
      <c r="G6" s="11">
        <v>6.9444444444444447E-4</v>
      </c>
      <c r="H6" s="9" t="s">
        <v>11</v>
      </c>
      <c r="I6" s="9" t="s">
        <v>12</v>
      </c>
      <c r="J6" s="9" t="s">
        <v>12</v>
      </c>
      <c r="K6" s="9"/>
      <c r="L6" s="9"/>
      <c r="M6" s="9"/>
      <c r="N6" s="9"/>
      <c r="O6" s="9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>
        <v>3</v>
      </c>
      <c r="AC6" s="9">
        <v>3</v>
      </c>
      <c r="AD6" s="9"/>
      <c r="AE6" s="9"/>
      <c r="AF6" s="9"/>
      <c r="AG6" s="9"/>
      <c r="AH6" s="9"/>
      <c r="AI6" s="9"/>
      <c r="AJ6" s="9"/>
      <c r="AK6" s="9">
        <v>1</v>
      </c>
      <c r="AL6" s="9"/>
      <c r="AM6" s="9">
        <v>1</v>
      </c>
      <c r="AN6" s="9"/>
      <c r="AO6" s="9"/>
      <c r="AP6" s="9"/>
      <c r="AQ6" s="9"/>
      <c r="AR6" s="9"/>
      <c r="AS6" s="9" t="s">
        <v>60</v>
      </c>
      <c r="AT6" s="9" t="s">
        <v>60</v>
      </c>
      <c r="AU6" s="9"/>
      <c r="AV6" s="9" t="s">
        <v>74</v>
      </c>
      <c r="AW6" s="8"/>
    </row>
    <row r="7" spans="1:49" x14ac:dyDescent="0.2">
      <c r="A7" s="13">
        <v>5</v>
      </c>
      <c r="B7" s="9">
        <v>38.3217230066657</v>
      </c>
      <c r="C7" s="9">
        <f>-28.2107909582555</f>
        <v>-28.210790958255501</v>
      </c>
      <c r="D7" s="10">
        <v>41475</v>
      </c>
      <c r="E7" s="11">
        <v>0.4390162037037037</v>
      </c>
      <c r="F7" s="11"/>
      <c r="G7" s="11">
        <v>6.9444444444444447E-4</v>
      </c>
      <c r="H7" s="9" t="s">
        <v>13</v>
      </c>
      <c r="I7" s="9" t="s">
        <v>14</v>
      </c>
      <c r="J7" s="9" t="s">
        <v>14</v>
      </c>
      <c r="K7" s="9"/>
      <c r="L7" s="9"/>
      <c r="M7" s="9"/>
      <c r="N7" s="9"/>
      <c r="O7" s="9"/>
      <c r="P7" s="9">
        <v>1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>
        <v>2</v>
      </c>
      <c r="AC7" s="9">
        <v>2</v>
      </c>
      <c r="AD7" s="9"/>
      <c r="AE7" s="9"/>
      <c r="AF7" s="9"/>
      <c r="AG7" s="9"/>
      <c r="AH7" s="9"/>
      <c r="AI7" s="9"/>
      <c r="AJ7" s="9"/>
      <c r="AK7" s="9">
        <v>1</v>
      </c>
      <c r="AL7" s="9"/>
      <c r="AM7" s="9"/>
      <c r="AN7" s="9"/>
      <c r="AO7" s="9"/>
      <c r="AP7" s="9"/>
      <c r="AQ7" s="9"/>
      <c r="AR7" s="9">
        <v>1</v>
      </c>
      <c r="AS7" s="9" t="s">
        <v>60</v>
      </c>
      <c r="AT7" s="9" t="s">
        <v>60</v>
      </c>
      <c r="AU7" s="9"/>
      <c r="AV7" s="9" t="s">
        <v>74</v>
      </c>
      <c r="AW7" s="8"/>
    </row>
    <row r="8" spans="1:49" x14ac:dyDescent="0.2">
      <c r="A8" s="13">
        <v>6</v>
      </c>
      <c r="B8" s="9">
        <v>38.3353430125862</v>
      </c>
      <c r="C8" s="9">
        <f>-28.3160290215164</f>
        <v>-28.3160290215164</v>
      </c>
      <c r="D8" s="10">
        <v>41815</v>
      </c>
      <c r="E8" s="11">
        <v>0.71498842592592593</v>
      </c>
      <c r="F8" s="11"/>
      <c r="G8" s="11">
        <v>6.9444444444444447E-4</v>
      </c>
      <c r="H8" s="9" t="s">
        <v>15</v>
      </c>
      <c r="I8" s="9" t="s">
        <v>16</v>
      </c>
      <c r="J8" s="9" t="s">
        <v>16</v>
      </c>
      <c r="K8" s="9"/>
      <c r="L8" s="9"/>
      <c r="M8" s="9"/>
      <c r="N8" s="9"/>
      <c r="O8" s="9">
        <v>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6</v>
      </c>
      <c r="AC8" s="9">
        <v>4</v>
      </c>
      <c r="AD8" s="9">
        <v>2</v>
      </c>
      <c r="AE8" s="9"/>
      <c r="AF8" s="9"/>
      <c r="AG8" s="9"/>
      <c r="AH8" s="9"/>
      <c r="AI8" s="9">
        <v>1</v>
      </c>
      <c r="AJ8" s="9"/>
      <c r="AK8" s="9"/>
      <c r="AL8" s="9"/>
      <c r="AM8" s="9"/>
      <c r="AN8" s="9">
        <v>1</v>
      </c>
      <c r="AO8" s="9"/>
      <c r="AP8" s="9"/>
      <c r="AQ8" s="9"/>
      <c r="AR8" s="9"/>
      <c r="AS8" s="9" t="s">
        <v>60</v>
      </c>
      <c r="AT8" s="9" t="s">
        <v>60</v>
      </c>
      <c r="AU8" s="9"/>
      <c r="AV8" s="9" t="s">
        <v>74</v>
      </c>
      <c r="AW8" s="8"/>
    </row>
    <row r="9" spans="1:49" x14ac:dyDescent="0.2">
      <c r="A9" s="13">
        <v>7</v>
      </c>
      <c r="B9" s="9">
        <v>38.319536000490103</v>
      </c>
      <c r="C9" s="9">
        <f>-28.1676700059324</f>
        <v>-28.167670005932401</v>
      </c>
      <c r="D9" s="10">
        <v>41827</v>
      </c>
      <c r="E9" s="11">
        <v>0.69761574074074073</v>
      </c>
      <c r="F9" s="11"/>
      <c r="G9" s="11">
        <v>6.9444444444444447E-4</v>
      </c>
      <c r="H9" s="9" t="s">
        <v>17</v>
      </c>
      <c r="I9" s="9" t="s">
        <v>18</v>
      </c>
      <c r="J9" s="9" t="s">
        <v>18</v>
      </c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>
        <v>1</v>
      </c>
      <c r="AC9" s="9">
        <v>1</v>
      </c>
      <c r="AD9" s="9"/>
      <c r="AE9" s="9"/>
      <c r="AF9" s="9"/>
      <c r="AG9" s="9"/>
      <c r="AH9" s="9"/>
      <c r="AI9" s="9">
        <v>1</v>
      </c>
      <c r="AJ9" s="9"/>
      <c r="AK9" s="9"/>
      <c r="AL9" s="9">
        <v>1</v>
      </c>
      <c r="AM9" s="9"/>
      <c r="AN9" s="9"/>
      <c r="AO9" s="9"/>
      <c r="AP9" s="9"/>
      <c r="AQ9" s="9"/>
      <c r="AR9" s="9"/>
      <c r="AS9" s="9" t="s">
        <v>60</v>
      </c>
      <c r="AT9" s="9" t="s">
        <v>60</v>
      </c>
      <c r="AU9" s="9"/>
      <c r="AV9" s="9" t="s">
        <v>74</v>
      </c>
      <c r="AW9" s="8"/>
    </row>
    <row r="10" spans="1:49" x14ac:dyDescent="0.2">
      <c r="A10" s="13">
        <v>8</v>
      </c>
      <c r="B10" s="9">
        <v>38.271651025861502</v>
      </c>
      <c r="C10" s="9">
        <f>-28.3284410275518</f>
        <v>-28.328441027551801</v>
      </c>
      <c r="D10" s="10">
        <v>42148</v>
      </c>
      <c r="E10" s="11">
        <v>0.70489583333333339</v>
      </c>
      <c r="F10" s="11"/>
      <c r="G10" s="11">
        <v>6.9444444444444447E-4</v>
      </c>
      <c r="H10" s="9" t="s">
        <v>19</v>
      </c>
      <c r="I10" s="9" t="s">
        <v>20</v>
      </c>
      <c r="J10" s="9" t="s">
        <v>20</v>
      </c>
      <c r="K10" s="9"/>
      <c r="L10" s="9"/>
      <c r="M10" s="9"/>
      <c r="N10" s="9"/>
      <c r="O10" s="9"/>
      <c r="P10" s="9">
        <v>1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v>3</v>
      </c>
      <c r="AC10" s="9">
        <v>3</v>
      </c>
      <c r="AD10" s="9"/>
      <c r="AE10" s="9"/>
      <c r="AF10" s="9"/>
      <c r="AG10" s="9"/>
      <c r="AH10" s="9"/>
      <c r="AI10" s="9">
        <v>1</v>
      </c>
      <c r="AJ10" s="9"/>
      <c r="AK10" s="9"/>
      <c r="AL10" s="9"/>
      <c r="AM10" s="9">
        <v>1</v>
      </c>
      <c r="AN10" s="9"/>
      <c r="AO10" s="9"/>
      <c r="AP10" s="9"/>
      <c r="AQ10" s="9"/>
      <c r="AR10" s="9"/>
      <c r="AS10" s="9">
        <v>3</v>
      </c>
      <c r="AT10" s="9" t="s">
        <v>60</v>
      </c>
      <c r="AU10" s="9"/>
      <c r="AV10" s="9" t="s">
        <v>74</v>
      </c>
      <c r="AW10" s="8"/>
    </row>
    <row r="11" spans="1:49" x14ac:dyDescent="0.2">
      <c r="A11" s="13">
        <v>9</v>
      </c>
      <c r="B11" s="9">
        <v>38.353769034147199</v>
      </c>
      <c r="C11" s="9">
        <f>-28.1249900255352</f>
        <v>-28.124990025535201</v>
      </c>
      <c r="D11" s="10">
        <v>42178</v>
      </c>
      <c r="E11" s="11">
        <v>0.42664351851851851</v>
      </c>
      <c r="F11" s="11"/>
      <c r="G11" s="11">
        <v>6.9444444444444447E-4</v>
      </c>
      <c r="H11" s="9" t="s">
        <v>21</v>
      </c>
      <c r="I11" s="9" t="s">
        <v>22</v>
      </c>
      <c r="J11" s="9" t="s">
        <v>22</v>
      </c>
      <c r="K11" s="9"/>
      <c r="L11" s="9"/>
      <c r="M11" s="9"/>
      <c r="N11" s="9"/>
      <c r="O11" s="9"/>
      <c r="P11" s="9">
        <v>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>
        <v>2</v>
      </c>
      <c r="AC11" s="9">
        <v>2</v>
      </c>
      <c r="AD11" s="9"/>
      <c r="AE11" s="9"/>
      <c r="AF11" s="9"/>
      <c r="AG11" s="9"/>
      <c r="AH11" s="9"/>
      <c r="AI11" s="9">
        <v>1</v>
      </c>
      <c r="AJ11" s="9"/>
      <c r="AK11" s="9"/>
      <c r="AL11" s="9"/>
      <c r="AM11" s="9">
        <v>1</v>
      </c>
      <c r="AN11" s="9"/>
      <c r="AO11" s="9"/>
      <c r="AP11" s="9"/>
      <c r="AQ11" s="9"/>
      <c r="AR11" s="9"/>
      <c r="AS11" s="9">
        <v>1</v>
      </c>
      <c r="AT11" s="9" t="s">
        <v>60</v>
      </c>
      <c r="AU11" s="9"/>
      <c r="AV11" s="9" t="s">
        <v>74</v>
      </c>
      <c r="AW11" s="8"/>
    </row>
    <row r="12" spans="1:49" x14ac:dyDescent="0.2">
      <c r="A12" s="13">
        <v>10</v>
      </c>
      <c r="B12" s="9">
        <v>38.358210017904597</v>
      </c>
      <c r="C12" s="9">
        <f>-28.2776610273867</f>
        <v>-28.277661027386699</v>
      </c>
      <c r="D12" s="10">
        <v>42209</v>
      </c>
      <c r="E12" s="11">
        <v>0.50667824074074075</v>
      </c>
      <c r="F12" s="11"/>
      <c r="G12" s="11">
        <v>6.9444444444444447E-4</v>
      </c>
      <c r="H12" s="9" t="s">
        <v>23</v>
      </c>
      <c r="I12" s="9" t="s">
        <v>24</v>
      </c>
      <c r="J12" s="9" t="s">
        <v>24</v>
      </c>
      <c r="K12" s="9"/>
      <c r="L12" s="9">
        <v>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>
        <v>2</v>
      </c>
      <c r="AC12" s="9">
        <v>2</v>
      </c>
      <c r="AD12" s="9"/>
      <c r="AE12" s="9"/>
      <c r="AF12" s="9"/>
      <c r="AG12" s="9"/>
      <c r="AH12" s="9">
        <v>1</v>
      </c>
      <c r="AI12" s="9"/>
      <c r="AJ12" s="9"/>
      <c r="AK12" s="9"/>
      <c r="AL12" s="9"/>
      <c r="AM12" s="9"/>
      <c r="AN12" s="9"/>
      <c r="AO12" s="9">
        <v>1</v>
      </c>
      <c r="AP12" s="9"/>
      <c r="AQ12" s="9"/>
      <c r="AR12" s="9"/>
      <c r="AS12" s="9">
        <v>1</v>
      </c>
      <c r="AT12" s="9" t="s">
        <v>60</v>
      </c>
      <c r="AU12" s="9"/>
      <c r="AV12" s="9" t="s">
        <v>74</v>
      </c>
      <c r="AW12" s="8"/>
    </row>
    <row r="13" spans="1:49" x14ac:dyDescent="0.2">
      <c r="A13" s="13">
        <v>11</v>
      </c>
      <c r="B13" s="9">
        <v>38.3638809621334</v>
      </c>
      <c r="C13" s="9">
        <f>-28.1515480019152</f>
        <v>-28.151548001915199</v>
      </c>
      <c r="D13" s="10">
        <v>42503</v>
      </c>
      <c r="E13" s="11">
        <v>0.54343750000000002</v>
      </c>
      <c r="F13" s="11"/>
      <c r="G13" s="11">
        <v>6.9444444444444447E-4</v>
      </c>
      <c r="H13" s="9" t="s">
        <v>25</v>
      </c>
      <c r="I13" s="9" t="s">
        <v>26</v>
      </c>
      <c r="J13" s="9" t="s">
        <v>26</v>
      </c>
      <c r="K13" s="9"/>
      <c r="L13" s="9"/>
      <c r="M13" s="9"/>
      <c r="N13" s="9"/>
      <c r="O13" s="9"/>
      <c r="P13" s="9">
        <v>1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>
        <v>3</v>
      </c>
      <c r="AC13" s="9">
        <v>3</v>
      </c>
      <c r="AD13" s="9"/>
      <c r="AE13" s="9"/>
      <c r="AF13" s="9"/>
      <c r="AG13" s="9"/>
      <c r="AH13" s="9"/>
      <c r="AI13" s="9">
        <v>1</v>
      </c>
      <c r="AJ13" s="9"/>
      <c r="AK13" s="9"/>
      <c r="AL13" s="9"/>
      <c r="AM13" s="9"/>
      <c r="AN13" s="9">
        <v>1</v>
      </c>
      <c r="AO13" s="9"/>
      <c r="AP13" s="9"/>
      <c r="AQ13" s="9"/>
      <c r="AR13" s="9"/>
      <c r="AS13" s="9">
        <v>4</v>
      </c>
      <c r="AT13" s="9" t="s">
        <v>60</v>
      </c>
      <c r="AU13" s="9"/>
      <c r="AV13" s="9" t="s">
        <v>74</v>
      </c>
      <c r="AW13" s="8"/>
    </row>
    <row r="14" spans="1:49" x14ac:dyDescent="0.2">
      <c r="A14" s="13">
        <v>12</v>
      </c>
      <c r="B14" s="9">
        <v>38.379625026136601</v>
      </c>
      <c r="C14" s="9">
        <f>-28.3273859973996</f>
        <v>-28.327385997399599</v>
      </c>
      <c r="D14" s="10">
        <v>42577</v>
      </c>
      <c r="E14" s="11">
        <v>0.41416666666666663</v>
      </c>
      <c r="F14" s="11">
        <v>0.42006944444444444</v>
      </c>
      <c r="G14" s="11">
        <f t="shared" si="0"/>
        <v>5.9027777777778123E-3</v>
      </c>
      <c r="H14" s="9" t="s">
        <v>27</v>
      </c>
      <c r="I14" s="9" t="s">
        <v>6</v>
      </c>
      <c r="J14" s="9" t="s">
        <v>29</v>
      </c>
      <c r="K14" s="9"/>
      <c r="L14" s="9"/>
      <c r="M14" s="9"/>
      <c r="N14" s="9">
        <v>1</v>
      </c>
      <c r="O14" s="9"/>
      <c r="P14" s="9"/>
      <c r="Q14" s="9"/>
      <c r="R14" s="9">
        <v>1</v>
      </c>
      <c r="S14" s="9"/>
      <c r="T14" s="9"/>
      <c r="U14" s="9"/>
      <c r="V14" s="9"/>
      <c r="W14" s="9"/>
      <c r="X14" s="9"/>
      <c r="Y14" s="9"/>
      <c r="Z14" s="9"/>
      <c r="AA14" s="9"/>
      <c r="AB14" s="9">
        <v>2</v>
      </c>
      <c r="AC14" s="9">
        <v>1</v>
      </c>
      <c r="AD14" s="9">
        <v>1</v>
      </c>
      <c r="AE14" s="9"/>
      <c r="AF14" s="9"/>
      <c r="AG14" s="9"/>
      <c r="AH14" s="9"/>
      <c r="AI14" s="9">
        <v>1</v>
      </c>
      <c r="AJ14" s="9"/>
      <c r="AK14" s="9"/>
      <c r="AL14" s="9"/>
      <c r="AM14" s="9"/>
      <c r="AN14" s="9">
        <v>1</v>
      </c>
      <c r="AO14" s="9"/>
      <c r="AP14" s="9"/>
      <c r="AQ14" s="9"/>
      <c r="AR14" s="9"/>
      <c r="AS14" s="9">
        <v>3</v>
      </c>
      <c r="AT14" s="9" t="s">
        <v>60</v>
      </c>
      <c r="AU14" s="9"/>
      <c r="AV14" s="9" t="s">
        <v>74</v>
      </c>
      <c r="AW14" s="8"/>
    </row>
    <row r="15" spans="1:49" ht="17" thickBot="1" x14ac:dyDescent="0.25">
      <c r="A15" s="14">
        <v>13</v>
      </c>
      <c r="B15" s="15">
        <v>38.302966989576802</v>
      </c>
      <c r="C15" s="15">
        <f>-28.1788279954344</f>
        <v>-28.1788279954344</v>
      </c>
      <c r="D15" s="16">
        <v>42583</v>
      </c>
      <c r="E15" s="17">
        <v>0.65631944444444446</v>
      </c>
      <c r="F15" s="17">
        <v>0.66282407407407407</v>
      </c>
      <c r="G15" s="17">
        <f t="shared" si="0"/>
        <v>6.5046296296296102E-3</v>
      </c>
      <c r="H15" s="15" t="s">
        <v>30</v>
      </c>
      <c r="I15" s="15" t="s">
        <v>6</v>
      </c>
      <c r="J15" s="15" t="s">
        <v>32</v>
      </c>
      <c r="K15" s="15"/>
      <c r="L15" s="15">
        <v>1</v>
      </c>
      <c r="M15" s="15"/>
      <c r="N15" s="15"/>
      <c r="O15" s="15">
        <v>1</v>
      </c>
      <c r="P15" s="15"/>
      <c r="Q15" s="15"/>
      <c r="R15" s="15"/>
      <c r="S15" s="15"/>
      <c r="T15" s="15"/>
      <c r="U15" s="15"/>
      <c r="V15" s="15"/>
      <c r="W15" s="15">
        <v>1</v>
      </c>
      <c r="X15" s="15"/>
      <c r="Y15" s="15"/>
      <c r="Z15" s="15"/>
      <c r="AA15" s="15"/>
      <c r="AB15" s="15">
        <v>5</v>
      </c>
      <c r="AC15" s="15">
        <v>5</v>
      </c>
      <c r="AD15" s="15"/>
      <c r="AE15" s="15"/>
      <c r="AF15" s="15"/>
      <c r="AG15" s="15"/>
      <c r="AH15" s="15">
        <v>1</v>
      </c>
      <c r="AI15" s="15"/>
      <c r="AJ15" s="15"/>
      <c r="AK15" s="15"/>
      <c r="AL15" s="15"/>
      <c r="AM15" s="15">
        <v>1</v>
      </c>
      <c r="AN15" s="15"/>
      <c r="AO15" s="15"/>
      <c r="AP15" s="15"/>
      <c r="AQ15" s="15"/>
      <c r="AR15" s="15"/>
      <c r="AS15" s="15">
        <v>1</v>
      </c>
      <c r="AT15" s="15" t="s">
        <v>60</v>
      </c>
      <c r="AU15" s="15"/>
      <c r="AV15" s="15" t="s">
        <v>74</v>
      </c>
      <c r="AW15" s="18"/>
    </row>
  </sheetData>
  <mergeCells count="4">
    <mergeCell ref="K1:AA1"/>
    <mergeCell ref="AB1:AG1"/>
    <mergeCell ref="AH1:AK1"/>
    <mergeCell ref="AL1:A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F40A-4C18-2B40-8115-C26E8FE0853D}">
  <dimension ref="A1:I14"/>
  <sheetViews>
    <sheetView workbookViewId="0">
      <selection activeCell="H1" activeCellId="1" sqref="A1:D14 H1:H14"/>
    </sheetView>
  </sheetViews>
  <sheetFormatPr baseColWidth="10" defaultRowHeight="16" x14ac:dyDescent="0.2"/>
  <cols>
    <col min="4" max="5" width="19.6640625" bestFit="1" customWidth="1"/>
    <col min="6" max="8" width="19.6640625" customWidth="1"/>
    <col min="9" max="9" width="16.6640625" bestFit="1" customWidth="1"/>
  </cols>
  <sheetData>
    <row r="1" spans="1:9" x14ac:dyDescent="0.2">
      <c r="A1" s="12" t="s">
        <v>33</v>
      </c>
      <c r="B1" s="3" t="s">
        <v>0</v>
      </c>
      <c r="C1" s="3" t="s">
        <v>1</v>
      </c>
      <c r="D1" s="3" t="s">
        <v>34</v>
      </c>
      <c r="E1" s="21" t="s">
        <v>94</v>
      </c>
      <c r="F1" s="3" t="s">
        <v>95</v>
      </c>
      <c r="G1" s="3" t="s">
        <v>96</v>
      </c>
      <c r="H1" s="3" t="s">
        <v>75</v>
      </c>
      <c r="I1" s="4" t="s">
        <v>2</v>
      </c>
    </row>
    <row r="2" spans="1:9" x14ac:dyDescent="0.2">
      <c r="A2" s="13">
        <v>1</v>
      </c>
      <c r="B2" s="9">
        <v>38.324695983901599</v>
      </c>
      <c r="C2" s="9">
        <f>-28.2326379697769</f>
        <v>-28.232637969776899</v>
      </c>
      <c r="D2" s="10">
        <v>41053</v>
      </c>
      <c r="E2" s="19" t="s">
        <v>76</v>
      </c>
      <c r="F2" s="19" t="s">
        <v>77</v>
      </c>
      <c r="G2" s="19" t="s">
        <v>78</v>
      </c>
      <c r="H2" s="11">
        <v>0.43174768518518519</v>
      </c>
      <c r="I2" s="8" t="s">
        <v>3</v>
      </c>
    </row>
    <row r="3" spans="1:9" x14ac:dyDescent="0.2">
      <c r="A3" s="13">
        <v>2</v>
      </c>
      <c r="B3" s="9">
        <v>38.224352030083502</v>
      </c>
      <c r="C3" s="9">
        <f>-28.1521980185061</f>
        <v>-28.152198018506098</v>
      </c>
      <c r="D3" s="10">
        <v>41097</v>
      </c>
      <c r="E3" s="19" t="s">
        <v>79</v>
      </c>
      <c r="F3" s="19" t="s">
        <v>79</v>
      </c>
      <c r="G3" s="19" t="s">
        <v>78</v>
      </c>
      <c r="H3" s="11">
        <v>0.71579861111111109</v>
      </c>
      <c r="I3" s="8" t="s">
        <v>5</v>
      </c>
    </row>
    <row r="4" spans="1:9" x14ac:dyDescent="0.2">
      <c r="A4" s="13">
        <v>3</v>
      </c>
      <c r="B4" s="9">
        <v>38.341100038960498</v>
      </c>
      <c r="C4" s="9">
        <f>-28.1005240045487</f>
        <v>-28.100524004548699</v>
      </c>
      <c r="D4" s="10">
        <v>41109</v>
      </c>
      <c r="E4" s="19" t="s">
        <v>80</v>
      </c>
      <c r="F4" s="19" t="s">
        <v>79</v>
      </c>
      <c r="G4" s="19" t="s">
        <v>78</v>
      </c>
      <c r="H4" s="11">
        <v>0.65366898148148145</v>
      </c>
      <c r="I4" s="8" t="s">
        <v>9</v>
      </c>
    </row>
    <row r="5" spans="1:9" x14ac:dyDescent="0.2">
      <c r="A5" s="13">
        <v>4</v>
      </c>
      <c r="B5" s="9">
        <v>38.348579965531798</v>
      </c>
      <c r="C5" s="9">
        <f>-28.2700550369918</f>
        <v>-28.270055036991799</v>
      </c>
      <c r="D5" s="10">
        <v>41459</v>
      </c>
      <c r="E5" s="19" t="s">
        <v>81</v>
      </c>
      <c r="F5" s="19" t="s">
        <v>79</v>
      </c>
      <c r="G5" s="19" t="s">
        <v>82</v>
      </c>
      <c r="H5" s="11">
        <v>0.4259722222222222</v>
      </c>
      <c r="I5" s="8" t="s">
        <v>11</v>
      </c>
    </row>
    <row r="6" spans="1:9" x14ac:dyDescent="0.2">
      <c r="A6" s="13">
        <v>5</v>
      </c>
      <c r="B6" s="9">
        <v>38.3217230066657</v>
      </c>
      <c r="C6" s="9">
        <f>-28.2107909582555</f>
        <v>-28.210790958255501</v>
      </c>
      <c r="D6" s="10">
        <v>41475</v>
      </c>
      <c r="E6" s="19" t="s">
        <v>83</v>
      </c>
      <c r="F6" s="19" t="s">
        <v>79</v>
      </c>
      <c r="G6" s="19" t="s">
        <v>82</v>
      </c>
      <c r="H6" s="11">
        <v>0.4390162037037037</v>
      </c>
      <c r="I6" s="8" t="s">
        <v>13</v>
      </c>
    </row>
    <row r="7" spans="1:9" x14ac:dyDescent="0.2">
      <c r="A7" s="13">
        <v>6</v>
      </c>
      <c r="B7" s="9">
        <v>38.3353430125862</v>
      </c>
      <c r="C7" s="9">
        <f>-28.3160290215164</f>
        <v>-28.3160290215164</v>
      </c>
      <c r="D7" s="10">
        <v>41815</v>
      </c>
      <c r="E7" s="19" t="s">
        <v>84</v>
      </c>
      <c r="F7" s="19" t="s">
        <v>85</v>
      </c>
      <c r="G7" s="19" t="s">
        <v>86</v>
      </c>
      <c r="H7" s="11">
        <v>0.71498842592592593</v>
      </c>
      <c r="I7" s="8" t="s">
        <v>15</v>
      </c>
    </row>
    <row r="8" spans="1:9" x14ac:dyDescent="0.2">
      <c r="A8" s="13">
        <v>7</v>
      </c>
      <c r="B8" s="9">
        <v>38.319536000490103</v>
      </c>
      <c r="C8" s="9">
        <f>-28.1676700059324</f>
        <v>-28.167670005932401</v>
      </c>
      <c r="D8" s="10">
        <v>41827</v>
      </c>
      <c r="E8" s="19" t="s">
        <v>79</v>
      </c>
      <c r="F8" s="19" t="s">
        <v>79</v>
      </c>
      <c r="G8" s="19" t="s">
        <v>86</v>
      </c>
      <c r="H8" s="11">
        <v>0.69761574074074073</v>
      </c>
      <c r="I8" s="8" t="s">
        <v>17</v>
      </c>
    </row>
    <row r="9" spans="1:9" x14ac:dyDescent="0.2">
      <c r="A9" s="13">
        <v>8</v>
      </c>
      <c r="B9" s="9">
        <v>38.271651025861502</v>
      </c>
      <c r="C9" s="9">
        <f>-28.3284410275518</f>
        <v>-28.328441027551801</v>
      </c>
      <c r="D9" s="10">
        <v>42148</v>
      </c>
      <c r="E9" s="19" t="s">
        <v>76</v>
      </c>
      <c r="F9" s="19" t="s">
        <v>77</v>
      </c>
      <c r="G9" s="19" t="s">
        <v>87</v>
      </c>
      <c r="H9" s="11">
        <v>0.70489583333333339</v>
      </c>
      <c r="I9" s="8" t="s">
        <v>19</v>
      </c>
    </row>
    <row r="10" spans="1:9" x14ac:dyDescent="0.2">
      <c r="A10" s="13">
        <v>9</v>
      </c>
      <c r="B10" s="9">
        <v>38.353769034147199</v>
      </c>
      <c r="C10" s="9">
        <f>-28.1249900255352</f>
        <v>-28.124990025535201</v>
      </c>
      <c r="D10" s="10">
        <v>42178</v>
      </c>
      <c r="E10" s="19" t="s">
        <v>88</v>
      </c>
      <c r="F10" s="19" t="s">
        <v>85</v>
      </c>
      <c r="G10" s="19" t="s">
        <v>87</v>
      </c>
      <c r="H10" s="11">
        <v>0.42664351851851851</v>
      </c>
      <c r="I10" s="8" t="s">
        <v>21</v>
      </c>
    </row>
    <row r="11" spans="1:9" x14ac:dyDescent="0.2">
      <c r="A11" s="13">
        <v>10</v>
      </c>
      <c r="B11" s="9">
        <v>38.358210017904597</v>
      </c>
      <c r="C11" s="9">
        <f>-28.2776610273867</f>
        <v>-28.277661027386699</v>
      </c>
      <c r="D11" s="10">
        <v>42209</v>
      </c>
      <c r="E11" s="19" t="s">
        <v>76</v>
      </c>
      <c r="F11" s="19" t="s">
        <v>79</v>
      </c>
      <c r="G11" s="19" t="s">
        <v>87</v>
      </c>
      <c r="H11" s="11">
        <v>0.50667824074074075</v>
      </c>
      <c r="I11" s="8" t="s">
        <v>23</v>
      </c>
    </row>
    <row r="12" spans="1:9" x14ac:dyDescent="0.2">
      <c r="A12" s="13">
        <v>11</v>
      </c>
      <c r="B12" s="9">
        <v>38.3638809621334</v>
      </c>
      <c r="C12" s="9">
        <f>-28.1515480019152</f>
        <v>-28.151548001915199</v>
      </c>
      <c r="D12" s="10">
        <v>42503</v>
      </c>
      <c r="E12" s="19" t="s">
        <v>89</v>
      </c>
      <c r="F12" s="19" t="s">
        <v>77</v>
      </c>
      <c r="G12" s="19" t="s">
        <v>90</v>
      </c>
      <c r="H12" s="11">
        <v>0.54343750000000002</v>
      </c>
      <c r="I12" s="8" t="s">
        <v>25</v>
      </c>
    </row>
    <row r="13" spans="1:9" x14ac:dyDescent="0.2">
      <c r="A13" s="13">
        <v>12</v>
      </c>
      <c r="B13" s="9">
        <v>38.379625026136601</v>
      </c>
      <c r="C13" s="9">
        <f>-28.3273859973996</f>
        <v>-28.327385997399599</v>
      </c>
      <c r="D13" s="10">
        <v>42577</v>
      </c>
      <c r="E13" s="19" t="s">
        <v>91</v>
      </c>
      <c r="F13" s="19" t="s">
        <v>79</v>
      </c>
      <c r="G13" s="19" t="s">
        <v>90</v>
      </c>
      <c r="H13" s="11">
        <v>0.41416666666666663</v>
      </c>
      <c r="I13" s="8" t="s">
        <v>27</v>
      </c>
    </row>
    <row r="14" spans="1:9" ht="17" thickBot="1" x14ac:dyDescent="0.25">
      <c r="A14" s="14">
        <v>13</v>
      </c>
      <c r="B14" s="15">
        <v>38.302966989576802</v>
      </c>
      <c r="C14" s="15">
        <f>-28.1788279954344</f>
        <v>-28.1788279954344</v>
      </c>
      <c r="D14" s="16">
        <v>42583</v>
      </c>
      <c r="E14" s="20" t="s">
        <v>92</v>
      </c>
      <c r="F14" s="20" t="s">
        <v>93</v>
      </c>
      <c r="G14" s="20" t="s">
        <v>90</v>
      </c>
      <c r="H14" s="17">
        <v>0.65631944444444446</v>
      </c>
      <c r="I14" s="18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CB6B-6DAD-5747-A611-E7FE15533D1F}">
  <dimension ref="A1:AZ15"/>
  <sheetViews>
    <sheetView tabSelected="1" topLeftCell="O1" workbookViewId="0">
      <selection activeCell="O20" sqref="O20"/>
    </sheetView>
  </sheetViews>
  <sheetFormatPr baseColWidth="10" defaultRowHeight="16" x14ac:dyDescent="0.2"/>
  <cols>
    <col min="12" max="12" width="12.1640625" bestFit="1" customWidth="1"/>
    <col min="13" max="13" width="17.6640625" bestFit="1" customWidth="1"/>
  </cols>
  <sheetData>
    <row r="1" spans="1:52" ht="18" x14ac:dyDescent="0.2">
      <c r="A1" s="1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3" t="s">
        <v>40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5"/>
      <c r="AE1" s="23" t="s">
        <v>41</v>
      </c>
      <c r="AF1" s="24"/>
      <c r="AG1" s="24"/>
      <c r="AH1" s="24"/>
      <c r="AI1" s="24"/>
      <c r="AJ1" s="25"/>
      <c r="AK1" s="23" t="s">
        <v>42</v>
      </c>
      <c r="AL1" s="24"/>
      <c r="AM1" s="24"/>
      <c r="AN1" s="25"/>
      <c r="AO1" s="23" t="s">
        <v>43</v>
      </c>
      <c r="AP1" s="24"/>
      <c r="AQ1" s="24"/>
      <c r="AR1" s="24"/>
      <c r="AS1" s="24"/>
      <c r="AT1" s="24"/>
      <c r="AU1" s="25"/>
      <c r="AV1" s="3"/>
      <c r="AW1" s="3"/>
      <c r="AX1" s="3"/>
      <c r="AY1" s="3"/>
      <c r="AZ1" s="4"/>
    </row>
    <row r="2" spans="1:52" ht="18" x14ac:dyDescent="0.2">
      <c r="A2" s="13" t="s">
        <v>33</v>
      </c>
      <c r="B2" s="9" t="s">
        <v>0</v>
      </c>
      <c r="C2" s="9" t="s">
        <v>1</v>
      </c>
      <c r="D2" s="9" t="s">
        <v>34</v>
      </c>
      <c r="E2" s="19" t="s">
        <v>94</v>
      </c>
      <c r="F2" s="9" t="s">
        <v>95</v>
      </c>
      <c r="G2" s="9" t="s">
        <v>96</v>
      </c>
      <c r="H2" s="9" t="s">
        <v>39</v>
      </c>
      <c r="I2" s="9" t="s">
        <v>97</v>
      </c>
      <c r="J2" s="9" t="s">
        <v>38</v>
      </c>
      <c r="K2" s="9" t="s">
        <v>2</v>
      </c>
      <c r="L2" s="9" t="s">
        <v>36</v>
      </c>
      <c r="M2" s="9"/>
      <c r="N2" s="5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 t="s">
        <v>53</v>
      </c>
      <c r="X2" s="6" t="s">
        <v>54</v>
      </c>
      <c r="Y2" s="6" t="s">
        <v>55</v>
      </c>
      <c r="Z2" s="6" t="s">
        <v>56</v>
      </c>
      <c r="AA2" s="6" t="s">
        <v>57</v>
      </c>
      <c r="AB2" s="6" t="s">
        <v>58</v>
      </c>
      <c r="AC2" s="6" t="s">
        <v>59</v>
      </c>
      <c r="AD2" s="6" t="s">
        <v>60</v>
      </c>
      <c r="AE2" s="6" t="s">
        <v>61</v>
      </c>
      <c r="AF2" s="6" t="s">
        <v>62</v>
      </c>
      <c r="AG2" s="6" t="s">
        <v>63</v>
      </c>
      <c r="AH2" s="6" t="s">
        <v>64</v>
      </c>
      <c r="AI2" s="6" t="s">
        <v>65</v>
      </c>
      <c r="AJ2" s="6" t="s">
        <v>60</v>
      </c>
      <c r="AK2" s="6" t="s">
        <v>66</v>
      </c>
      <c r="AL2" s="7" t="s">
        <v>67</v>
      </c>
      <c r="AM2" s="6" t="s">
        <v>68</v>
      </c>
      <c r="AN2" s="6" t="s">
        <v>69</v>
      </c>
      <c r="AO2" s="6">
        <v>0</v>
      </c>
      <c r="AP2" s="6">
        <v>1</v>
      </c>
      <c r="AQ2" s="6">
        <v>2</v>
      </c>
      <c r="AR2" s="6">
        <v>3</v>
      </c>
      <c r="AS2" s="6">
        <v>4</v>
      </c>
      <c r="AT2" s="6">
        <v>5</v>
      </c>
      <c r="AU2" s="6" t="s">
        <v>60</v>
      </c>
      <c r="AV2" s="6" t="s">
        <v>70</v>
      </c>
      <c r="AW2" s="6" t="s">
        <v>71</v>
      </c>
      <c r="AX2" s="6" t="s">
        <v>72</v>
      </c>
      <c r="AY2" s="6" t="s">
        <v>73</v>
      </c>
      <c r="AZ2" s="8"/>
    </row>
    <row r="3" spans="1:52" x14ac:dyDescent="0.2">
      <c r="A3" s="13">
        <v>1</v>
      </c>
      <c r="B3" s="9">
        <v>38.324695983901599</v>
      </c>
      <c r="C3" s="9">
        <f>-28.2326379697769</f>
        <v>-28.232637969776899</v>
      </c>
      <c r="D3" s="10">
        <v>41053</v>
      </c>
      <c r="E3" s="19" t="s">
        <v>76</v>
      </c>
      <c r="F3" s="19" t="s">
        <v>77</v>
      </c>
      <c r="G3" s="19" t="s">
        <v>78</v>
      </c>
      <c r="H3" s="11">
        <v>0.43174768518518519</v>
      </c>
      <c r="I3" s="11"/>
      <c r="J3" s="11">
        <v>6.9444444444444447E-4</v>
      </c>
      <c r="K3" s="9" t="s">
        <v>3</v>
      </c>
      <c r="L3" s="9" t="s">
        <v>4</v>
      </c>
      <c r="M3" s="9" t="s">
        <v>4</v>
      </c>
      <c r="N3" s="9"/>
      <c r="O3" s="9"/>
      <c r="P3" s="9"/>
      <c r="Q3" s="9"/>
      <c r="R3" s="9"/>
      <c r="S3" s="9">
        <v>1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>
        <v>2</v>
      </c>
      <c r="AF3" s="9">
        <v>2</v>
      </c>
      <c r="AG3" s="9"/>
      <c r="AH3" s="9"/>
      <c r="AI3" s="9"/>
      <c r="AJ3" s="9"/>
      <c r="AK3" s="9"/>
      <c r="AL3" s="9">
        <v>1</v>
      </c>
      <c r="AM3" s="9"/>
      <c r="AN3" s="9"/>
      <c r="AO3" s="9"/>
      <c r="AP3" s="9"/>
      <c r="AQ3" s="9"/>
      <c r="AR3" s="9">
        <v>1</v>
      </c>
      <c r="AS3" s="9"/>
      <c r="AT3" s="9"/>
      <c r="AU3" s="9"/>
      <c r="AV3" s="9" t="s">
        <v>60</v>
      </c>
      <c r="AW3" s="9" t="s">
        <v>60</v>
      </c>
      <c r="AX3" s="9"/>
      <c r="AY3" s="9" t="s">
        <v>74</v>
      </c>
      <c r="AZ3" s="8"/>
    </row>
    <row r="4" spans="1:52" x14ac:dyDescent="0.2">
      <c r="A4" s="13">
        <v>2</v>
      </c>
      <c r="B4" s="9">
        <v>38.224352030083502</v>
      </c>
      <c r="C4" s="9">
        <f>-28.1521980185061</f>
        <v>-28.152198018506098</v>
      </c>
      <c r="D4" s="10">
        <v>41097</v>
      </c>
      <c r="E4" s="19" t="s">
        <v>79</v>
      </c>
      <c r="F4" s="19" t="s">
        <v>79</v>
      </c>
      <c r="G4" s="19" t="s">
        <v>78</v>
      </c>
      <c r="H4" s="11">
        <v>0.71579861111111109</v>
      </c>
      <c r="I4" s="11">
        <v>0.71988425925925925</v>
      </c>
      <c r="J4" s="11">
        <f t="shared" ref="J4:J15" si="0">I4-H4</f>
        <v>4.0856481481481577E-3</v>
      </c>
      <c r="K4" s="9" t="s">
        <v>5</v>
      </c>
      <c r="L4" s="9" t="s">
        <v>6</v>
      </c>
      <c r="M4" s="9" t="s">
        <v>8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>
        <v>1</v>
      </c>
      <c r="AE4" s="9">
        <v>4</v>
      </c>
      <c r="AF4" s="9">
        <v>4</v>
      </c>
      <c r="AG4" s="9"/>
      <c r="AH4" s="9"/>
      <c r="AI4" s="9"/>
      <c r="AJ4" s="9"/>
      <c r="AK4" s="9"/>
      <c r="AL4" s="9"/>
      <c r="AM4" s="9"/>
      <c r="AN4" s="9">
        <v>1</v>
      </c>
      <c r="AO4" s="9"/>
      <c r="AP4" s="9"/>
      <c r="AQ4" s="9"/>
      <c r="AR4" s="9"/>
      <c r="AS4" s="9"/>
      <c r="AT4" s="9"/>
      <c r="AU4" s="9">
        <v>1</v>
      </c>
      <c r="AV4" s="9" t="s">
        <v>60</v>
      </c>
      <c r="AW4" s="9" t="s">
        <v>60</v>
      </c>
      <c r="AX4" s="9"/>
      <c r="AY4" s="9" t="s">
        <v>74</v>
      </c>
      <c r="AZ4" s="8"/>
    </row>
    <row r="5" spans="1:52" x14ac:dyDescent="0.2">
      <c r="A5" s="13">
        <v>3</v>
      </c>
      <c r="B5" s="9">
        <v>38.341100038960498</v>
      </c>
      <c r="C5" s="9">
        <f>-28.1005240045487</f>
        <v>-28.100524004548699</v>
      </c>
      <c r="D5" s="10">
        <v>41109</v>
      </c>
      <c r="E5" s="19" t="s">
        <v>80</v>
      </c>
      <c r="F5" s="19" t="s">
        <v>79</v>
      </c>
      <c r="G5" s="19" t="s">
        <v>78</v>
      </c>
      <c r="H5" s="11">
        <v>0.65366898148148145</v>
      </c>
      <c r="I5" s="11"/>
      <c r="J5" s="11">
        <v>6.9444444444444447E-4</v>
      </c>
      <c r="K5" s="9" t="s">
        <v>9</v>
      </c>
      <c r="L5" s="9" t="s">
        <v>10</v>
      </c>
      <c r="M5" s="9" t="s">
        <v>10</v>
      </c>
      <c r="N5" s="9"/>
      <c r="O5" s="9"/>
      <c r="P5" s="9"/>
      <c r="Q5" s="9"/>
      <c r="R5" s="9"/>
      <c r="S5" s="9">
        <v>1</v>
      </c>
      <c r="T5" s="9"/>
      <c r="U5" s="9"/>
      <c r="V5" s="9"/>
      <c r="W5" s="9"/>
      <c r="X5" s="9"/>
      <c r="Y5" s="9"/>
      <c r="Z5" s="9"/>
      <c r="AA5" s="9"/>
      <c r="AB5" s="9"/>
      <c r="AC5" s="9">
        <v>1</v>
      </c>
      <c r="AD5" s="9"/>
      <c r="AE5" s="9">
        <v>3</v>
      </c>
      <c r="AF5" s="9">
        <v>3</v>
      </c>
      <c r="AG5" s="9"/>
      <c r="AH5" s="9"/>
      <c r="AI5" s="9"/>
      <c r="AJ5" s="9"/>
      <c r="AK5" s="9"/>
      <c r="AL5" s="9">
        <v>1</v>
      </c>
      <c r="AM5" s="9"/>
      <c r="AN5" s="9"/>
      <c r="AO5" s="9"/>
      <c r="AP5" s="9"/>
      <c r="AQ5" s="9">
        <v>1</v>
      </c>
      <c r="AR5" s="9"/>
      <c r="AS5" s="9"/>
      <c r="AT5" s="9"/>
      <c r="AU5" s="9"/>
      <c r="AV5" s="9" t="s">
        <v>60</v>
      </c>
      <c r="AW5" s="9" t="s">
        <v>60</v>
      </c>
      <c r="AX5" s="9"/>
      <c r="AY5" s="9" t="s">
        <v>74</v>
      </c>
      <c r="AZ5" s="8"/>
    </row>
    <row r="6" spans="1:52" x14ac:dyDescent="0.2">
      <c r="A6" s="13">
        <v>4</v>
      </c>
      <c r="B6" s="9">
        <v>38.348579965531798</v>
      </c>
      <c r="C6" s="9">
        <f>-28.2700550369918</f>
        <v>-28.270055036991799</v>
      </c>
      <c r="D6" s="10">
        <v>41459</v>
      </c>
      <c r="E6" s="19" t="s">
        <v>81</v>
      </c>
      <c r="F6" s="19" t="s">
        <v>79</v>
      </c>
      <c r="G6" s="19" t="s">
        <v>82</v>
      </c>
      <c r="H6" s="11">
        <v>0.4259722222222222</v>
      </c>
      <c r="I6" s="11"/>
      <c r="J6" s="11">
        <v>6.9444444444444447E-4</v>
      </c>
      <c r="K6" s="9" t="s">
        <v>11</v>
      </c>
      <c r="L6" s="9" t="s">
        <v>12</v>
      </c>
      <c r="M6" s="9" t="s">
        <v>12</v>
      </c>
      <c r="N6" s="9"/>
      <c r="O6" s="9"/>
      <c r="P6" s="9"/>
      <c r="Q6" s="9"/>
      <c r="R6" s="9"/>
      <c r="S6" s="9">
        <v>1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>
        <v>3</v>
      </c>
      <c r="AF6" s="9">
        <v>3</v>
      </c>
      <c r="AG6" s="9"/>
      <c r="AH6" s="9"/>
      <c r="AI6" s="9"/>
      <c r="AJ6" s="9"/>
      <c r="AK6" s="9"/>
      <c r="AL6" s="9"/>
      <c r="AM6" s="9"/>
      <c r="AN6" s="9">
        <v>1</v>
      </c>
      <c r="AO6" s="9"/>
      <c r="AP6" s="9">
        <v>1</v>
      </c>
      <c r="AQ6" s="9"/>
      <c r="AR6" s="9"/>
      <c r="AS6" s="9"/>
      <c r="AT6" s="9"/>
      <c r="AU6" s="9"/>
      <c r="AV6" s="9" t="s">
        <v>60</v>
      </c>
      <c r="AW6" s="9" t="s">
        <v>60</v>
      </c>
      <c r="AX6" s="9"/>
      <c r="AY6" s="9" t="s">
        <v>74</v>
      </c>
      <c r="AZ6" s="8"/>
    </row>
    <row r="7" spans="1:52" x14ac:dyDescent="0.2">
      <c r="A7" s="13">
        <v>5</v>
      </c>
      <c r="B7" s="9">
        <v>38.3217230066657</v>
      </c>
      <c r="C7" s="9">
        <f>-28.2107909582555</f>
        <v>-28.210790958255501</v>
      </c>
      <c r="D7" s="10">
        <v>41475</v>
      </c>
      <c r="E7" s="19" t="s">
        <v>83</v>
      </c>
      <c r="F7" s="19" t="s">
        <v>79</v>
      </c>
      <c r="G7" s="19" t="s">
        <v>82</v>
      </c>
      <c r="H7" s="11">
        <v>0.4390162037037037</v>
      </c>
      <c r="I7" s="11"/>
      <c r="J7" s="11">
        <v>6.9444444444444447E-4</v>
      </c>
      <c r="K7" s="9" t="s">
        <v>13</v>
      </c>
      <c r="L7" s="9" t="s">
        <v>14</v>
      </c>
      <c r="M7" s="9" t="s">
        <v>14</v>
      </c>
      <c r="N7" s="9"/>
      <c r="O7" s="9"/>
      <c r="P7" s="9"/>
      <c r="Q7" s="9"/>
      <c r="R7" s="9"/>
      <c r="S7" s="9">
        <v>1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>
        <v>2</v>
      </c>
      <c r="AF7" s="9">
        <v>2</v>
      </c>
      <c r="AG7" s="9"/>
      <c r="AH7" s="9"/>
      <c r="AI7" s="9"/>
      <c r="AJ7" s="9"/>
      <c r="AK7" s="9"/>
      <c r="AL7" s="9"/>
      <c r="AM7" s="9"/>
      <c r="AN7" s="9">
        <v>1</v>
      </c>
      <c r="AO7" s="9"/>
      <c r="AP7" s="9"/>
      <c r="AQ7" s="9"/>
      <c r="AR7" s="9"/>
      <c r="AS7" s="9"/>
      <c r="AT7" s="9"/>
      <c r="AU7" s="9">
        <v>1</v>
      </c>
      <c r="AV7" s="9" t="s">
        <v>60</v>
      </c>
      <c r="AW7" s="9" t="s">
        <v>60</v>
      </c>
      <c r="AX7" s="9"/>
      <c r="AY7" s="9" t="s">
        <v>74</v>
      </c>
      <c r="AZ7" s="8"/>
    </row>
    <row r="8" spans="1:52" x14ac:dyDescent="0.2">
      <c r="A8" s="13">
        <v>6</v>
      </c>
      <c r="B8" s="9">
        <v>38.3353430125862</v>
      </c>
      <c r="C8" s="9">
        <f>-28.3160290215164</f>
        <v>-28.3160290215164</v>
      </c>
      <c r="D8" s="10">
        <v>41815</v>
      </c>
      <c r="E8" s="19" t="s">
        <v>84</v>
      </c>
      <c r="F8" s="19" t="s">
        <v>85</v>
      </c>
      <c r="G8" s="19" t="s">
        <v>86</v>
      </c>
      <c r="H8" s="11">
        <v>0.71498842592592593</v>
      </c>
      <c r="I8" s="11"/>
      <c r="J8" s="11">
        <v>6.9444444444444447E-4</v>
      </c>
      <c r="K8" s="9" t="s">
        <v>15</v>
      </c>
      <c r="L8" s="9" t="s">
        <v>16</v>
      </c>
      <c r="M8" s="9" t="s">
        <v>16</v>
      </c>
      <c r="N8" s="9"/>
      <c r="O8" s="9"/>
      <c r="P8" s="9"/>
      <c r="Q8" s="9"/>
      <c r="R8" s="9">
        <v>1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>
        <v>6</v>
      </c>
      <c r="AF8" s="9">
        <v>4</v>
      </c>
      <c r="AG8" s="9">
        <v>2</v>
      </c>
      <c r="AH8" s="9"/>
      <c r="AI8" s="9"/>
      <c r="AJ8" s="9"/>
      <c r="AK8" s="9"/>
      <c r="AL8" s="9">
        <v>1</v>
      </c>
      <c r="AM8" s="9"/>
      <c r="AN8" s="9"/>
      <c r="AO8" s="9"/>
      <c r="AP8" s="9"/>
      <c r="AQ8" s="9">
        <v>1</v>
      </c>
      <c r="AR8" s="9"/>
      <c r="AS8" s="9"/>
      <c r="AT8" s="9"/>
      <c r="AU8" s="9"/>
      <c r="AV8" s="9" t="s">
        <v>60</v>
      </c>
      <c r="AW8" s="9" t="s">
        <v>60</v>
      </c>
      <c r="AX8" s="9"/>
      <c r="AY8" s="9" t="s">
        <v>74</v>
      </c>
      <c r="AZ8" s="8"/>
    </row>
    <row r="9" spans="1:52" x14ac:dyDescent="0.2">
      <c r="A9" s="13">
        <v>7</v>
      </c>
      <c r="B9" s="9">
        <v>38.319536000490103</v>
      </c>
      <c r="C9" s="9">
        <f>-28.1676700059324</f>
        <v>-28.167670005932401</v>
      </c>
      <c r="D9" s="10">
        <v>41827</v>
      </c>
      <c r="E9" s="19" t="s">
        <v>79</v>
      </c>
      <c r="F9" s="19" t="s">
        <v>79</v>
      </c>
      <c r="G9" s="19" t="s">
        <v>86</v>
      </c>
      <c r="H9" s="11">
        <v>0.69761574074074073</v>
      </c>
      <c r="I9" s="11"/>
      <c r="J9" s="11">
        <v>6.9444444444444447E-4</v>
      </c>
      <c r="K9" s="9" t="s">
        <v>17</v>
      </c>
      <c r="L9" s="9" t="s">
        <v>18</v>
      </c>
      <c r="M9" s="9" t="s">
        <v>18</v>
      </c>
      <c r="N9" s="9"/>
      <c r="O9" s="9"/>
      <c r="P9" s="9"/>
      <c r="Q9" s="9"/>
      <c r="R9" s="9"/>
      <c r="S9" s="9">
        <v>1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>
        <v>1</v>
      </c>
      <c r="AF9" s="9">
        <v>1</v>
      </c>
      <c r="AG9" s="9"/>
      <c r="AH9" s="9"/>
      <c r="AI9" s="9"/>
      <c r="AJ9" s="9"/>
      <c r="AK9" s="9"/>
      <c r="AL9" s="9">
        <v>1</v>
      </c>
      <c r="AM9" s="9"/>
      <c r="AN9" s="9"/>
      <c r="AO9" s="9">
        <v>1</v>
      </c>
      <c r="AP9" s="9"/>
      <c r="AQ9" s="9"/>
      <c r="AR9" s="9"/>
      <c r="AS9" s="9"/>
      <c r="AT9" s="9"/>
      <c r="AU9" s="9"/>
      <c r="AV9" s="9" t="s">
        <v>60</v>
      </c>
      <c r="AW9" s="9" t="s">
        <v>60</v>
      </c>
      <c r="AX9" s="9"/>
      <c r="AY9" s="9" t="s">
        <v>74</v>
      </c>
      <c r="AZ9" s="8"/>
    </row>
    <row r="10" spans="1:52" x14ac:dyDescent="0.2">
      <c r="A10" s="13">
        <v>8</v>
      </c>
      <c r="B10" s="9">
        <v>38.271651025861502</v>
      </c>
      <c r="C10" s="9">
        <f>-28.3284410275518</f>
        <v>-28.328441027551801</v>
      </c>
      <c r="D10" s="10">
        <v>42148</v>
      </c>
      <c r="E10" s="19" t="s">
        <v>76</v>
      </c>
      <c r="F10" s="19" t="s">
        <v>77</v>
      </c>
      <c r="G10" s="19" t="s">
        <v>87</v>
      </c>
      <c r="H10" s="11">
        <v>0.70489583333333339</v>
      </c>
      <c r="I10" s="11"/>
      <c r="J10" s="11">
        <v>6.9444444444444447E-4</v>
      </c>
      <c r="K10" s="9" t="s">
        <v>19</v>
      </c>
      <c r="L10" s="9" t="s">
        <v>20</v>
      </c>
      <c r="M10" s="9" t="s">
        <v>20</v>
      </c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>
        <v>3</v>
      </c>
      <c r="AF10" s="9">
        <v>3</v>
      </c>
      <c r="AG10" s="9"/>
      <c r="AH10" s="9"/>
      <c r="AI10" s="9"/>
      <c r="AJ10" s="9"/>
      <c r="AK10" s="9"/>
      <c r="AL10" s="9">
        <v>1</v>
      </c>
      <c r="AM10" s="9"/>
      <c r="AN10" s="9"/>
      <c r="AO10" s="9"/>
      <c r="AP10" s="9">
        <v>1</v>
      </c>
      <c r="AQ10" s="9"/>
      <c r="AR10" s="9"/>
      <c r="AS10" s="9"/>
      <c r="AT10" s="9"/>
      <c r="AU10" s="9"/>
      <c r="AV10" s="9">
        <v>3</v>
      </c>
      <c r="AW10" s="9" t="s">
        <v>60</v>
      </c>
      <c r="AX10" s="9"/>
      <c r="AY10" s="9" t="s">
        <v>74</v>
      </c>
      <c r="AZ10" s="8"/>
    </row>
    <row r="11" spans="1:52" x14ac:dyDescent="0.2">
      <c r="A11" s="13">
        <v>9</v>
      </c>
      <c r="B11" s="9">
        <v>38.353769034147199</v>
      </c>
      <c r="C11" s="9">
        <f>-28.1249900255352</f>
        <v>-28.124990025535201</v>
      </c>
      <c r="D11" s="10">
        <v>42178</v>
      </c>
      <c r="E11" s="19" t="s">
        <v>88</v>
      </c>
      <c r="F11" s="19" t="s">
        <v>85</v>
      </c>
      <c r="G11" s="19" t="s">
        <v>87</v>
      </c>
      <c r="H11" s="11">
        <v>0.42664351851851851</v>
      </c>
      <c r="I11" s="11"/>
      <c r="J11" s="11">
        <v>6.9444444444444447E-4</v>
      </c>
      <c r="K11" s="9" t="s">
        <v>21</v>
      </c>
      <c r="L11" s="9" t="s">
        <v>22</v>
      </c>
      <c r="M11" s="9" t="s">
        <v>22</v>
      </c>
      <c r="N11" s="9"/>
      <c r="O11" s="9"/>
      <c r="P11" s="9"/>
      <c r="Q11" s="9"/>
      <c r="R11" s="9"/>
      <c r="S11" s="9">
        <v>1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>
        <v>2</v>
      </c>
      <c r="AF11" s="9">
        <v>2</v>
      </c>
      <c r="AG11" s="9"/>
      <c r="AH11" s="9"/>
      <c r="AI11" s="9"/>
      <c r="AJ11" s="9"/>
      <c r="AK11" s="9"/>
      <c r="AL11" s="9">
        <v>1</v>
      </c>
      <c r="AM11" s="9"/>
      <c r="AN11" s="9"/>
      <c r="AO11" s="9"/>
      <c r="AP11" s="9">
        <v>1</v>
      </c>
      <c r="AQ11" s="9"/>
      <c r="AR11" s="9"/>
      <c r="AS11" s="9"/>
      <c r="AT11" s="9"/>
      <c r="AU11" s="9"/>
      <c r="AV11" s="9">
        <v>1</v>
      </c>
      <c r="AW11" s="9" t="s">
        <v>60</v>
      </c>
      <c r="AX11" s="9"/>
      <c r="AY11" s="9" t="s">
        <v>74</v>
      </c>
      <c r="AZ11" s="8"/>
    </row>
    <row r="12" spans="1:52" x14ac:dyDescent="0.2">
      <c r="A12" s="13">
        <v>10</v>
      </c>
      <c r="B12" s="9">
        <v>38.358210017904597</v>
      </c>
      <c r="C12" s="9">
        <f>-28.2776610273867</f>
        <v>-28.277661027386699</v>
      </c>
      <c r="D12" s="10">
        <v>42209</v>
      </c>
      <c r="E12" s="19" t="s">
        <v>76</v>
      </c>
      <c r="F12" s="19" t="s">
        <v>79</v>
      </c>
      <c r="G12" s="19" t="s">
        <v>87</v>
      </c>
      <c r="H12" s="11">
        <v>0.50667824074074075</v>
      </c>
      <c r="I12" s="11"/>
      <c r="J12" s="11">
        <v>6.9444444444444447E-4</v>
      </c>
      <c r="K12" s="9" t="s">
        <v>23</v>
      </c>
      <c r="L12" s="9" t="s">
        <v>24</v>
      </c>
      <c r="M12" s="9" t="s">
        <v>24</v>
      </c>
      <c r="N12" s="9"/>
      <c r="O12" s="9">
        <v>1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>
        <v>2</v>
      </c>
      <c r="AF12" s="9">
        <v>2</v>
      </c>
      <c r="AG12" s="9"/>
      <c r="AH12" s="9"/>
      <c r="AI12" s="9"/>
      <c r="AJ12" s="9"/>
      <c r="AK12" s="9">
        <v>1</v>
      </c>
      <c r="AL12" s="9"/>
      <c r="AM12" s="9"/>
      <c r="AN12" s="9"/>
      <c r="AO12" s="9"/>
      <c r="AP12" s="9"/>
      <c r="AQ12" s="9"/>
      <c r="AR12" s="9">
        <v>1</v>
      </c>
      <c r="AS12" s="9"/>
      <c r="AT12" s="9"/>
      <c r="AU12" s="9"/>
      <c r="AV12" s="9">
        <v>1</v>
      </c>
      <c r="AW12" s="9" t="s">
        <v>60</v>
      </c>
      <c r="AX12" s="9"/>
      <c r="AY12" s="9" t="s">
        <v>74</v>
      </c>
      <c r="AZ12" s="8"/>
    </row>
    <row r="13" spans="1:52" x14ac:dyDescent="0.2">
      <c r="A13" s="13">
        <v>11</v>
      </c>
      <c r="B13" s="9">
        <v>38.3638809621334</v>
      </c>
      <c r="C13" s="9">
        <f>-28.1515480019152</f>
        <v>-28.151548001915199</v>
      </c>
      <c r="D13" s="10">
        <v>42503</v>
      </c>
      <c r="E13" s="19" t="s">
        <v>89</v>
      </c>
      <c r="F13" s="19" t="s">
        <v>77</v>
      </c>
      <c r="G13" s="19" t="s">
        <v>90</v>
      </c>
      <c r="H13" s="11">
        <v>0.54343750000000002</v>
      </c>
      <c r="I13" s="11"/>
      <c r="J13" s="11">
        <v>6.9444444444444447E-4</v>
      </c>
      <c r="K13" s="9" t="s">
        <v>25</v>
      </c>
      <c r="L13" s="9" t="s">
        <v>26</v>
      </c>
      <c r="M13" s="9" t="s">
        <v>26</v>
      </c>
      <c r="N13" s="9"/>
      <c r="O13" s="9"/>
      <c r="P13" s="9"/>
      <c r="Q13" s="9"/>
      <c r="R13" s="9"/>
      <c r="S13" s="9">
        <v>1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>
        <v>3</v>
      </c>
      <c r="AF13" s="9">
        <v>3</v>
      </c>
      <c r="AG13" s="9"/>
      <c r="AH13" s="9"/>
      <c r="AI13" s="9"/>
      <c r="AJ13" s="9"/>
      <c r="AK13" s="9"/>
      <c r="AL13" s="9">
        <v>1</v>
      </c>
      <c r="AM13" s="9"/>
      <c r="AN13" s="9"/>
      <c r="AO13" s="9"/>
      <c r="AP13" s="9"/>
      <c r="AQ13" s="9">
        <v>1</v>
      </c>
      <c r="AR13" s="9"/>
      <c r="AS13" s="9"/>
      <c r="AT13" s="9"/>
      <c r="AU13" s="9"/>
      <c r="AV13" s="9">
        <v>4</v>
      </c>
      <c r="AW13" s="9" t="s">
        <v>60</v>
      </c>
      <c r="AX13" s="9"/>
      <c r="AY13" s="9" t="s">
        <v>74</v>
      </c>
      <c r="AZ13" s="8"/>
    </row>
    <row r="14" spans="1:52" x14ac:dyDescent="0.2">
      <c r="A14" s="13">
        <v>12</v>
      </c>
      <c r="B14" s="9">
        <v>38.379625026136601</v>
      </c>
      <c r="C14" s="9">
        <f>-28.3273859973996</f>
        <v>-28.327385997399599</v>
      </c>
      <c r="D14" s="10">
        <v>42577</v>
      </c>
      <c r="E14" s="19" t="s">
        <v>91</v>
      </c>
      <c r="F14" s="19" t="s">
        <v>79</v>
      </c>
      <c r="G14" s="19" t="s">
        <v>90</v>
      </c>
      <c r="H14" s="11">
        <v>0.41416666666666663</v>
      </c>
      <c r="I14" s="11">
        <v>0.42006944444444444</v>
      </c>
      <c r="J14" s="11">
        <f t="shared" si="0"/>
        <v>5.9027777777778123E-3</v>
      </c>
      <c r="K14" s="9" t="s">
        <v>27</v>
      </c>
      <c r="L14" s="9" t="s">
        <v>6</v>
      </c>
      <c r="M14" s="9" t="s">
        <v>29</v>
      </c>
      <c r="N14" s="9"/>
      <c r="O14" s="9"/>
      <c r="P14" s="9"/>
      <c r="Q14" s="9">
        <v>1</v>
      </c>
      <c r="R14" s="9"/>
      <c r="S14" s="9"/>
      <c r="T14" s="9"/>
      <c r="U14" s="9">
        <v>1</v>
      </c>
      <c r="V14" s="9"/>
      <c r="W14" s="9"/>
      <c r="X14" s="9"/>
      <c r="Y14" s="9"/>
      <c r="Z14" s="9"/>
      <c r="AA14" s="9"/>
      <c r="AB14" s="9"/>
      <c r="AC14" s="9"/>
      <c r="AD14" s="9"/>
      <c r="AE14" s="9">
        <v>2</v>
      </c>
      <c r="AF14" s="9">
        <v>1</v>
      </c>
      <c r="AG14" s="9">
        <v>1</v>
      </c>
      <c r="AH14" s="9"/>
      <c r="AI14" s="9"/>
      <c r="AJ14" s="9"/>
      <c r="AK14" s="9"/>
      <c r="AL14" s="9">
        <v>1</v>
      </c>
      <c r="AM14" s="9"/>
      <c r="AN14" s="9"/>
      <c r="AO14" s="9"/>
      <c r="AP14" s="9"/>
      <c r="AQ14" s="9">
        <v>1</v>
      </c>
      <c r="AR14" s="9"/>
      <c r="AS14" s="9"/>
      <c r="AT14" s="9"/>
      <c r="AU14" s="9"/>
      <c r="AV14" s="9">
        <v>3</v>
      </c>
      <c r="AW14" s="9" t="s">
        <v>60</v>
      </c>
      <c r="AX14" s="9"/>
      <c r="AY14" s="9" t="s">
        <v>74</v>
      </c>
      <c r="AZ14" s="8"/>
    </row>
    <row r="15" spans="1:52" ht="17" thickBot="1" x14ac:dyDescent="0.25">
      <c r="A15" s="14">
        <v>13</v>
      </c>
      <c r="B15" s="15">
        <v>38.302966989576802</v>
      </c>
      <c r="C15" s="15">
        <f>-28.1788279954344</f>
        <v>-28.1788279954344</v>
      </c>
      <c r="D15" s="16">
        <v>42583</v>
      </c>
      <c r="E15" s="20" t="s">
        <v>92</v>
      </c>
      <c r="F15" s="20" t="s">
        <v>93</v>
      </c>
      <c r="G15" s="20" t="s">
        <v>90</v>
      </c>
      <c r="H15" s="17">
        <v>0.65631944444444446</v>
      </c>
      <c r="I15" s="17">
        <v>0.66282407407407407</v>
      </c>
      <c r="J15" s="17">
        <f t="shared" si="0"/>
        <v>6.5046296296296102E-3</v>
      </c>
      <c r="K15" s="15" t="s">
        <v>98</v>
      </c>
      <c r="L15" s="15" t="s">
        <v>6</v>
      </c>
      <c r="M15" s="15" t="s">
        <v>99</v>
      </c>
      <c r="N15" s="15"/>
      <c r="O15" s="15">
        <v>1</v>
      </c>
      <c r="P15" s="15"/>
      <c r="Q15" s="15"/>
      <c r="R15" s="15">
        <v>1</v>
      </c>
      <c r="S15" s="15"/>
      <c r="T15" s="15"/>
      <c r="U15" s="15"/>
      <c r="V15" s="15"/>
      <c r="W15" s="15"/>
      <c r="X15" s="15"/>
      <c r="Y15" s="15"/>
      <c r="Z15" s="15">
        <v>1</v>
      </c>
      <c r="AA15" s="15"/>
      <c r="AB15" s="15"/>
      <c r="AC15" s="15"/>
      <c r="AD15" s="15"/>
      <c r="AE15" s="15">
        <v>5</v>
      </c>
      <c r="AF15" s="15">
        <v>5</v>
      </c>
      <c r="AG15" s="15"/>
      <c r="AH15" s="15"/>
      <c r="AI15" s="15"/>
      <c r="AJ15" s="15"/>
      <c r="AK15" s="15">
        <v>1</v>
      </c>
      <c r="AL15" s="15"/>
      <c r="AM15" s="15"/>
      <c r="AN15" s="15"/>
      <c r="AO15" s="15"/>
      <c r="AP15" s="15">
        <v>1</v>
      </c>
      <c r="AQ15" s="15"/>
      <c r="AR15" s="15"/>
      <c r="AS15" s="15"/>
      <c r="AT15" s="15"/>
      <c r="AU15" s="15"/>
      <c r="AV15" s="15">
        <v>1</v>
      </c>
      <c r="AW15" s="15" t="s">
        <v>60</v>
      </c>
      <c r="AX15" s="15"/>
      <c r="AY15" s="15" t="s">
        <v>74</v>
      </c>
      <c r="AZ15" s="18"/>
    </row>
  </sheetData>
  <mergeCells count="4">
    <mergeCell ref="N1:AD1"/>
    <mergeCell ref="AE1:AJ1"/>
    <mergeCell ref="AK1:AN1"/>
    <mergeCell ref="AO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ALL</vt:lpstr>
      <vt:lpstr>Análise</vt:lpstr>
      <vt:lpstr>Posições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Santos</dc:creator>
  <cp:lastModifiedBy>Rui Santos</cp:lastModifiedBy>
  <dcterms:created xsi:type="dcterms:W3CDTF">2019-07-29T20:05:42Z</dcterms:created>
  <dcterms:modified xsi:type="dcterms:W3CDTF">2026-01-15T11:43:58Z</dcterms:modified>
</cp:coreProperties>
</file>