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santos/Desktop/azores.breeding-main/data-raw/"/>
    </mc:Choice>
  </mc:AlternateContent>
  <xr:revisionPtr revIDLastSave="0" documentId="13_ncr:1_{BD546862-1734-544C-838F-4C1A416B1F20}" xr6:coauthVersionLast="47" xr6:coauthVersionMax="47" xr10:uidLastSave="{00000000-0000-0000-0000-000000000000}"/>
  <bookViews>
    <workbookView xWindow="280" yWindow="760" windowWidth="28240" windowHeight="16080" activeTab="3" xr2:uid="{0E6B5A19-96D4-4942-AA4E-259E581D6961}"/>
  </bookViews>
  <sheets>
    <sheet name="ALL" sheetId="1" r:id="rId1"/>
    <sheet name="Análise" sheetId="2" r:id="rId2"/>
    <sheet name="Posições" sheetId="3" r:id="rId3"/>
    <sheet name="Data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8" i="3"/>
  <c r="C7" i="3"/>
  <c r="C6" i="3"/>
  <c r="C5" i="3"/>
  <c r="C4" i="3"/>
  <c r="C3" i="3"/>
  <c r="C2" i="3"/>
  <c r="C12" i="4"/>
  <c r="J11" i="4"/>
  <c r="C11" i="4"/>
  <c r="C10" i="4"/>
  <c r="C9" i="4"/>
  <c r="J8" i="4"/>
  <c r="C8" i="4"/>
  <c r="C7" i="4"/>
  <c r="C6" i="4"/>
  <c r="C5" i="4"/>
  <c r="C4" i="4"/>
  <c r="C3" i="4"/>
  <c r="G8" i="2"/>
  <c r="G11" i="2"/>
  <c r="C12" i="2"/>
  <c r="C11" i="2"/>
  <c r="C10" i="2"/>
  <c r="C9" i="2"/>
  <c r="C8" i="2"/>
  <c r="C7" i="2"/>
  <c r="C6" i="2"/>
  <c r="C5" i="2"/>
  <c r="C4" i="2"/>
  <c r="C3" i="2"/>
  <c r="C14" i="1" l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<sst xmlns="http://schemas.openxmlformats.org/spreadsheetml/2006/main" count="313" uniqueCount="89">
  <si>
    <t>lat</t>
  </si>
  <si>
    <t>lon</t>
  </si>
  <si>
    <t>name</t>
  </si>
  <si>
    <t>MD_20120506.01</t>
  </si>
  <si>
    <t>MD TS 3 1 I 4</t>
  </si>
  <si>
    <t>MD_20130423.01</t>
  </si>
  <si>
    <t>MD TS 5 I 2</t>
  </si>
  <si>
    <t>MD_20130430.01</t>
  </si>
  <si>
    <t>MD TS 2 I 2</t>
  </si>
  <si>
    <t>MD_20130720.01</t>
  </si>
  <si>
    <t>MD TS 3  1</t>
  </si>
  <si>
    <t>MD_20130726.01</t>
  </si>
  <si>
    <t>MD TS 3</t>
  </si>
  <si>
    <t>MD_20150531.01B</t>
  </si>
  <si>
    <t>MSP</t>
  </si>
  <si>
    <t>MD_20150531.01E</t>
  </si>
  <si>
    <t>MD? 5 0 0 TS 2E 20</t>
  </si>
  <si>
    <t>MD_20150725.01</t>
  </si>
  <si>
    <t>MD TS 1 I 2 1</t>
  </si>
  <si>
    <t>MD_20160407.01</t>
  </si>
  <si>
    <t>MD M 2 I 1 1</t>
  </si>
  <si>
    <t>MD_2016065.01B</t>
  </si>
  <si>
    <t>MD</t>
  </si>
  <si>
    <t>MD_2016065.01E</t>
  </si>
  <si>
    <t>MD_20160713.01B</t>
  </si>
  <si>
    <t>MD M H 10    3 I 0 2</t>
  </si>
  <si>
    <t>Sighting</t>
  </si>
  <si>
    <t>Date</t>
  </si>
  <si>
    <t>Time</t>
  </si>
  <si>
    <t>Behaviour</t>
  </si>
  <si>
    <t>Time i</t>
  </si>
  <si>
    <t>Time F</t>
  </si>
  <si>
    <t>Time stayed</t>
  </si>
  <si>
    <t>Behavior</t>
  </si>
  <si>
    <t>Group Compositon</t>
  </si>
  <si>
    <t>Boat Presence</t>
  </si>
  <si>
    <t>Beaufort</t>
  </si>
  <si>
    <t>FO</t>
  </si>
  <si>
    <t>M</t>
  </si>
  <si>
    <t>R</t>
  </si>
  <si>
    <t>TF</t>
  </si>
  <si>
    <t>TA</t>
  </si>
  <si>
    <t>TS</t>
  </si>
  <si>
    <t>SO</t>
  </si>
  <si>
    <t>BR</t>
  </si>
  <si>
    <t xml:space="preserve">LB </t>
  </si>
  <si>
    <t>FL</t>
  </si>
  <si>
    <t>SP</t>
  </si>
  <si>
    <t>OT</t>
  </si>
  <si>
    <t>BS</t>
  </si>
  <si>
    <t>BF</t>
  </si>
  <si>
    <t>BB</t>
  </si>
  <si>
    <t>H</t>
  </si>
  <si>
    <t>NI</t>
  </si>
  <si>
    <t>Max</t>
  </si>
  <si>
    <t>Ad</t>
  </si>
  <si>
    <t>J</t>
  </si>
  <si>
    <t>C</t>
  </si>
  <si>
    <t>NB</t>
  </si>
  <si>
    <t>A</t>
  </si>
  <si>
    <t>I</t>
  </si>
  <si>
    <t>E</t>
  </si>
  <si>
    <t>Ni</t>
  </si>
  <si>
    <t>CC</t>
  </si>
  <si>
    <t>DT</t>
  </si>
  <si>
    <t>Group</t>
  </si>
  <si>
    <t>OT. Species</t>
  </si>
  <si>
    <t>NO</t>
  </si>
  <si>
    <t xml:space="preserve">Time </t>
  </si>
  <si>
    <t>06</t>
  </si>
  <si>
    <t>05</t>
  </si>
  <si>
    <t>2012</t>
  </si>
  <si>
    <t>23</t>
  </si>
  <si>
    <t>04</t>
  </si>
  <si>
    <t>2013</t>
  </si>
  <si>
    <t>30</t>
  </si>
  <si>
    <t>20</t>
  </si>
  <si>
    <t>07</t>
  </si>
  <si>
    <t>26</t>
  </si>
  <si>
    <t>31</t>
  </si>
  <si>
    <t>2015</t>
  </si>
  <si>
    <t>25</t>
  </si>
  <si>
    <t>2016</t>
  </si>
  <si>
    <t>15</t>
  </si>
  <si>
    <t>13</t>
  </si>
  <si>
    <t>Day</t>
  </si>
  <si>
    <t>Month</t>
  </si>
  <si>
    <t>Year</t>
  </si>
  <si>
    <t>Time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</si>
</sst>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14" fontId="0" fillId="0" borderId="3" xfId="0" applyNumberFormat="1" applyBorder="1"/>
    <xf numFmtId="21" fontId="0" fillId="0" borderId="3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21" fontId="0" fillId="0" borderId="7" xfId="0" applyNumberFormat="1" applyBorder="1"/>
    <xf numFmtId="0" fontId="0" fillId="0" borderId="8" xfId="0" applyBorder="1"/>
    <xf numFmtId="49" fontId="0" fillId="0" borderId="3" xfId="0" applyNumberFormat="1" applyBorder="1"/>
    <xf numFmtId="49" fontId="0" fillId="0" borderId="7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b/Bb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Mn/Mn_Da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m/Bm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>
        <row r="2">
          <cell r="N2" t="str">
            <v>FO</v>
          </cell>
          <cell r="O2" t="str">
            <v>M</v>
          </cell>
          <cell r="P2" t="str">
            <v>R</v>
          </cell>
          <cell r="Q2" t="str">
            <v>TF</v>
          </cell>
          <cell r="R2" t="str">
            <v>TA</v>
          </cell>
          <cell r="S2" t="str">
            <v>TS</v>
          </cell>
          <cell r="T2" t="str">
            <v>SO</v>
          </cell>
          <cell r="U2" t="str">
            <v>BR</v>
          </cell>
          <cell r="V2" t="str">
            <v xml:space="preserve">LB </v>
          </cell>
          <cell r="W2" t="str">
            <v>FL</v>
          </cell>
          <cell r="X2" t="str">
            <v>SP</v>
          </cell>
          <cell r="Y2" t="str">
            <v>OT</v>
          </cell>
          <cell r="Z2" t="str">
            <v>BS</v>
          </cell>
          <cell r="AA2" t="str">
            <v>BF</v>
          </cell>
          <cell r="AB2" t="str">
            <v>BB</v>
          </cell>
          <cell r="AC2" t="str">
            <v>H</v>
          </cell>
          <cell r="AD2" t="str">
            <v>NI</v>
          </cell>
          <cell r="AE2" t="str">
            <v>Max</v>
          </cell>
          <cell r="AF2" t="str">
            <v>Ad</v>
          </cell>
          <cell r="AG2" t="str">
            <v>J</v>
          </cell>
          <cell r="AH2" t="str">
            <v>C</v>
          </cell>
          <cell r="AI2" t="str">
            <v>NB</v>
          </cell>
          <cell r="AJ2" t="str">
            <v>NI</v>
          </cell>
          <cell r="AK2" t="str">
            <v>A</v>
          </cell>
          <cell r="AL2" t="str">
            <v>I</v>
          </cell>
          <cell r="AM2" t="str">
            <v>E</v>
          </cell>
          <cell r="AN2" t="str">
            <v>Ni</v>
          </cell>
          <cell r="AO2">
            <v>0</v>
          </cell>
          <cell r="AP2">
            <v>1</v>
          </cell>
          <cell r="AQ2">
            <v>2</v>
          </cell>
          <cell r="AR2">
            <v>3</v>
          </cell>
          <cell r="AS2">
            <v>4</v>
          </cell>
          <cell r="AT2">
            <v>5</v>
          </cell>
          <cell r="AU2" t="str">
            <v>NI</v>
          </cell>
        </row>
        <row r="118">
          <cell r="A118">
            <v>2012</v>
          </cell>
        </row>
        <row r="119">
          <cell r="A119">
            <v>2013</v>
          </cell>
        </row>
        <row r="120">
          <cell r="A120">
            <v>2014</v>
          </cell>
        </row>
        <row r="121">
          <cell r="A121">
            <v>2015</v>
          </cell>
        </row>
        <row r="122">
          <cell r="A122">
            <v>2016</v>
          </cell>
        </row>
        <row r="123">
          <cell r="A123">
            <v>2017</v>
          </cell>
        </row>
        <row r="124">
          <cell r="A124">
            <v>2018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  <sheetName val="R_DATA"/>
    </sheetNames>
    <sheetDataSet>
      <sheetData sheetId="0"/>
      <sheetData sheetId="1"/>
      <sheetData sheetId="2"/>
      <sheetData sheetId="3">
        <row r="98">
          <cell r="A98" t="str">
            <v>March</v>
          </cell>
        </row>
        <row r="99">
          <cell r="A99" t="str">
            <v>April</v>
          </cell>
        </row>
        <row r="100">
          <cell r="A100" t="str">
            <v>May</v>
          </cell>
        </row>
        <row r="101">
          <cell r="A101" t="str">
            <v>June</v>
          </cell>
        </row>
        <row r="102">
          <cell r="A102" t="str">
            <v>July</v>
          </cell>
        </row>
        <row r="103">
          <cell r="A103" t="str">
            <v>August</v>
          </cell>
        </row>
        <row r="104">
          <cell r="A104" t="str">
            <v>September</v>
          </cell>
        </row>
        <row r="105">
          <cell r="A105" t="str">
            <v>October</v>
          </cell>
        </row>
        <row r="106">
          <cell r="A106" t="str">
            <v>November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/>
      <sheetData sheetId="2"/>
      <sheetData sheetId="3">
        <row r="2">
          <cell r="N2" t="str">
            <v>FO</v>
          </cell>
        </row>
        <row r="247">
          <cell r="E247" t="str">
            <v>March</v>
          </cell>
        </row>
        <row r="248">
          <cell r="E248" t="str">
            <v>April</v>
          </cell>
        </row>
        <row r="249">
          <cell r="E249" t="str">
            <v>May</v>
          </cell>
        </row>
        <row r="250">
          <cell r="E250" t="str">
            <v>June</v>
          </cell>
        </row>
        <row r="251">
          <cell r="E251" t="str">
            <v>July</v>
          </cell>
        </row>
        <row r="252">
          <cell r="E252" t="str">
            <v>August</v>
          </cell>
        </row>
        <row r="253">
          <cell r="E253" t="str">
            <v>September</v>
          </cell>
        </row>
        <row r="254">
          <cell r="E254" t="str">
            <v>October</v>
          </cell>
        </row>
        <row r="255">
          <cell r="E255" t="str">
            <v>November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FD42-E152-F74F-B15C-31C7BE3C44E5}">
  <dimension ref="A2:G14"/>
  <sheetViews>
    <sheetView workbookViewId="0">
      <selection sqref="A1:G1048576"/>
    </sheetView>
  </sheetViews>
  <sheetFormatPr baseColWidth="10" defaultRowHeight="16" x14ac:dyDescent="0.2"/>
  <cols>
    <col min="4" max="4" width="19.6640625" bestFit="1" customWidth="1"/>
    <col min="5" max="5" width="19.6640625" customWidth="1"/>
    <col min="6" max="6" width="16.83203125" bestFit="1" customWidth="1"/>
    <col min="7" max="7" width="17.5" bestFit="1" customWidth="1"/>
  </cols>
  <sheetData>
    <row r="2" spans="1:7" x14ac:dyDescent="0.2">
      <c r="A2" t="s">
        <v>26</v>
      </c>
      <c r="B2" t="s">
        <v>0</v>
      </c>
      <c r="C2" t="s">
        <v>1</v>
      </c>
      <c r="D2" t="s">
        <v>27</v>
      </c>
      <c r="E2" t="s">
        <v>28</v>
      </c>
      <c r="F2" t="s">
        <v>2</v>
      </c>
      <c r="G2" t="s">
        <v>29</v>
      </c>
    </row>
    <row r="3" spans="1:7" x14ac:dyDescent="0.2">
      <c r="A3">
        <v>1</v>
      </c>
      <c r="B3">
        <v>38.353869030252</v>
      </c>
      <c r="C3">
        <f>-28.039051964879</f>
        <v>-28.039051964879</v>
      </c>
      <c r="D3" s="1">
        <v>41035</v>
      </c>
      <c r="E3" s="2">
        <v>0.69618055555555547</v>
      </c>
      <c r="F3" t="s">
        <v>3</v>
      </c>
      <c r="G3" t="s">
        <v>4</v>
      </c>
    </row>
    <row r="4" spans="1:7" x14ac:dyDescent="0.2">
      <c r="A4">
        <v>2</v>
      </c>
      <c r="B4">
        <v>38.388389982283101</v>
      </c>
      <c r="C4">
        <f>-28.464987007901</f>
        <v>-28.464987007901001</v>
      </c>
      <c r="D4" s="1">
        <v>41387</v>
      </c>
      <c r="E4" s="2">
        <v>0.75774305555555566</v>
      </c>
      <c r="F4" t="s">
        <v>5</v>
      </c>
      <c r="G4" t="s">
        <v>6</v>
      </c>
    </row>
    <row r="5" spans="1:7" x14ac:dyDescent="0.2">
      <c r="A5">
        <v>3</v>
      </c>
      <c r="B5">
        <v>38.260794030502403</v>
      </c>
      <c r="C5">
        <f>-28.2960879709571</f>
        <v>-28.2960879709571</v>
      </c>
      <c r="D5" s="1">
        <v>41394</v>
      </c>
      <c r="E5" s="2">
        <v>0.50837962962962957</v>
      </c>
      <c r="F5" t="s">
        <v>7</v>
      </c>
      <c r="G5" t="s">
        <v>8</v>
      </c>
    </row>
    <row r="6" spans="1:7" x14ac:dyDescent="0.2">
      <c r="A6">
        <v>4</v>
      </c>
      <c r="B6">
        <v>38.292557001113799</v>
      </c>
      <c r="C6">
        <f>-28.0621730256825</f>
        <v>-28.062173025682501</v>
      </c>
      <c r="D6" s="1">
        <v>41475</v>
      </c>
      <c r="E6" s="2">
        <v>0.47271990740740738</v>
      </c>
      <c r="F6" t="s">
        <v>9</v>
      </c>
      <c r="G6" t="s">
        <v>10</v>
      </c>
    </row>
    <row r="7" spans="1:7" x14ac:dyDescent="0.2">
      <c r="A7">
        <v>5</v>
      </c>
      <c r="B7">
        <v>38.366514975205</v>
      </c>
      <c r="C7">
        <f>-28.1322780065238</f>
        <v>-28.132278006523801</v>
      </c>
      <c r="D7" s="1">
        <v>41481</v>
      </c>
      <c r="E7" s="2">
        <v>0.74229166666666668</v>
      </c>
      <c r="F7" t="s">
        <v>11</v>
      </c>
      <c r="G7" t="s">
        <v>12</v>
      </c>
    </row>
    <row r="8" spans="1:7" x14ac:dyDescent="0.2">
      <c r="A8">
        <v>6</v>
      </c>
      <c r="B8">
        <v>38.271394036710198</v>
      </c>
      <c r="C8">
        <f>-28.4660009667277</f>
        <v>-28.466000966727702</v>
      </c>
      <c r="D8" s="1">
        <v>42155</v>
      </c>
      <c r="E8" s="2">
        <v>0.68174768518518514</v>
      </c>
      <c r="F8" t="s">
        <v>13</v>
      </c>
      <c r="G8" t="s">
        <v>14</v>
      </c>
    </row>
    <row r="9" spans="1:7" x14ac:dyDescent="0.2">
      <c r="A9">
        <v>7</v>
      </c>
      <c r="B9">
        <v>38.271756973117498</v>
      </c>
      <c r="C9">
        <f>-28.4615729749202</f>
        <v>-28.461572974920202</v>
      </c>
      <c r="D9" s="1">
        <v>42155</v>
      </c>
      <c r="E9" s="2">
        <v>0.68893518518518526</v>
      </c>
      <c r="F9" t="s">
        <v>15</v>
      </c>
      <c r="G9" t="s">
        <v>16</v>
      </c>
    </row>
    <row r="10" spans="1:7" x14ac:dyDescent="0.2">
      <c r="A10">
        <v>8</v>
      </c>
      <c r="B10">
        <v>38.392681013792703</v>
      </c>
      <c r="C10">
        <f>-28.4533710312098</f>
        <v>-28.453371031209802</v>
      </c>
      <c r="D10" s="1">
        <v>42210</v>
      </c>
      <c r="E10" s="2">
        <v>0.69379629629629624</v>
      </c>
      <c r="F10" t="s">
        <v>17</v>
      </c>
      <c r="G10" t="s">
        <v>18</v>
      </c>
    </row>
    <row r="11" spans="1:7" x14ac:dyDescent="0.2">
      <c r="A11">
        <v>9</v>
      </c>
      <c r="B11">
        <v>38.361828988417898</v>
      </c>
      <c r="C11">
        <f>-28.3670169766992</f>
        <v>-28.367016976699201</v>
      </c>
      <c r="D11" s="1">
        <v>42467</v>
      </c>
      <c r="E11" s="2">
        <v>0.77236111111111105</v>
      </c>
      <c r="F11" t="s">
        <v>19</v>
      </c>
      <c r="G11" t="s">
        <v>20</v>
      </c>
    </row>
    <row r="12" spans="1:7" x14ac:dyDescent="0.2">
      <c r="A12">
        <v>10</v>
      </c>
      <c r="B12">
        <v>38.363044029101701</v>
      </c>
      <c r="C12">
        <f>-28.2816170342266</f>
        <v>-28.281617034226599</v>
      </c>
      <c r="D12" s="1">
        <v>42536</v>
      </c>
      <c r="E12" s="2">
        <v>0.42592592592592587</v>
      </c>
      <c r="F12" t="s">
        <v>21</v>
      </c>
      <c r="G12" t="s">
        <v>22</v>
      </c>
    </row>
    <row r="13" spans="1:7" x14ac:dyDescent="0.2">
      <c r="A13">
        <v>11</v>
      </c>
      <c r="B13">
        <v>38.363198004662898</v>
      </c>
      <c r="C13">
        <f>-28.2859499752521</f>
        <v>-28.285949975252102</v>
      </c>
      <c r="D13" s="1">
        <v>42536</v>
      </c>
      <c r="E13" s="2">
        <v>0.43037037037037035</v>
      </c>
      <c r="F13" t="s">
        <v>23</v>
      </c>
      <c r="G13" t="s">
        <v>20</v>
      </c>
    </row>
    <row r="14" spans="1:7" x14ac:dyDescent="0.2">
      <c r="A14">
        <v>12</v>
      </c>
      <c r="B14">
        <v>38.301644995808601</v>
      </c>
      <c r="C14">
        <f>-28.2240920327603</f>
        <v>-28.2240920327603</v>
      </c>
      <c r="D14" s="1">
        <v>42564</v>
      </c>
      <c r="E14" s="2">
        <v>0.6893055555555555</v>
      </c>
      <c r="F14" t="s">
        <v>24</v>
      </c>
      <c r="G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1D37-0F52-A045-8A68-E3B851FC60E1}">
  <dimension ref="A1:AW12"/>
  <sheetViews>
    <sheetView zoomScale="135" workbookViewId="0">
      <selection sqref="A1:H1048576"/>
    </sheetView>
  </sheetViews>
  <sheetFormatPr baseColWidth="10" defaultRowHeight="16" x14ac:dyDescent="0.2"/>
  <cols>
    <col min="4" max="4" width="19.6640625" bestFit="1" customWidth="1"/>
    <col min="5" max="7" width="19.6640625" customWidth="1"/>
    <col min="8" max="8" width="16.83203125" bestFit="1" customWidth="1"/>
    <col min="9" max="9" width="17.5" bestFit="1" customWidth="1"/>
    <col min="10" max="10" width="17.1640625" bestFit="1" customWidth="1"/>
  </cols>
  <sheetData>
    <row r="1" spans="1:49" ht="18" x14ac:dyDescent="0.2">
      <c r="A1" s="12"/>
      <c r="B1" s="3"/>
      <c r="C1" s="3"/>
      <c r="D1" s="3"/>
      <c r="E1" s="3"/>
      <c r="F1" s="3"/>
      <c r="G1" s="3"/>
      <c r="H1" s="3"/>
      <c r="I1" s="3"/>
      <c r="J1" s="3"/>
      <c r="K1" s="20" t="s">
        <v>33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 t="s">
        <v>34</v>
      </c>
      <c r="AC1" s="20"/>
      <c r="AD1" s="20"/>
      <c r="AE1" s="20"/>
      <c r="AF1" s="20"/>
      <c r="AG1" s="20"/>
      <c r="AH1" s="20" t="s">
        <v>35</v>
      </c>
      <c r="AI1" s="20"/>
      <c r="AJ1" s="20"/>
      <c r="AK1" s="20"/>
      <c r="AL1" s="20" t="s">
        <v>36</v>
      </c>
      <c r="AM1" s="20"/>
      <c r="AN1" s="20"/>
      <c r="AO1" s="20"/>
      <c r="AP1" s="20"/>
      <c r="AQ1" s="20"/>
      <c r="AR1" s="20"/>
      <c r="AS1" s="3"/>
      <c r="AT1" s="3"/>
      <c r="AU1" s="3"/>
      <c r="AV1" s="3"/>
      <c r="AW1" s="4"/>
    </row>
    <row r="2" spans="1:49" ht="18" x14ac:dyDescent="0.2">
      <c r="A2" s="13" t="s">
        <v>26</v>
      </c>
      <c r="B2" s="9" t="s">
        <v>0</v>
      </c>
      <c r="C2" s="9" t="s">
        <v>1</v>
      </c>
      <c r="D2" s="9" t="s">
        <v>27</v>
      </c>
      <c r="E2" s="9" t="s">
        <v>30</v>
      </c>
      <c r="F2" s="9" t="s">
        <v>31</v>
      </c>
      <c r="G2" s="9" t="s">
        <v>32</v>
      </c>
      <c r="H2" s="9" t="s">
        <v>2</v>
      </c>
      <c r="I2" s="9" t="s">
        <v>29</v>
      </c>
      <c r="J2" s="9"/>
      <c r="K2" s="5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  <c r="S2" s="6" t="s">
        <v>45</v>
      </c>
      <c r="T2" s="6" t="s">
        <v>46</v>
      </c>
      <c r="U2" s="6" t="s">
        <v>47</v>
      </c>
      <c r="V2" s="6" t="s">
        <v>48</v>
      </c>
      <c r="W2" s="6" t="s">
        <v>49</v>
      </c>
      <c r="X2" s="6" t="s">
        <v>50</v>
      </c>
      <c r="Y2" s="6" t="s">
        <v>51</v>
      </c>
      <c r="Z2" s="6" t="s">
        <v>52</v>
      </c>
      <c r="AA2" s="6" t="s">
        <v>53</v>
      </c>
      <c r="AB2" s="6" t="s">
        <v>54</v>
      </c>
      <c r="AC2" s="6" t="s">
        <v>55</v>
      </c>
      <c r="AD2" s="6" t="s">
        <v>56</v>
      </c>
      <c r="AE2" s="6" t="s">
        <v>57</v>
      </c>
      <c r="AF2" s="6" t="s">
        <v>58</v>
      </c>
      <c r="AG2" s="6" t="s">
        <v>53</v>
      </c>
      <c r="AH2" s="6" t="s">
        <v>59</v>
      </c>
      <c r="AI2" s="7" t="s">
        <v>60</v>
      </c>
      <c r="AJ2" s="6" t="s">
        <v>61</v>
      </c>
      <c r="AK2" s="6" t="s">
        <v>62</v>
      </c>
      <c r="AL2" s="6">
        <v>0</v>
      </c>
      <c r="AM2" s="6">
        <v>1</v>
      </c>
      <c r="AN2" s="6">
        <v>2</v>
      </c>
      <c r="AO2" s="6">
        <v>3</v>
      </c>
      <c r="AP2" s="6">
        <v>4</v>
      </c>
      <c r="AQ2" s="6">
        <v>5</v>
      </c>
      <c r="AR2" s="6" t="s">
        <v>53</v>
      </c>
      <c r="AS2" s="6" t="s">
        <v>63</v>
      </c>
      <c r="AT2" s="6" t="s">
        <v>64</v>
      </c>
      <c r="AU2" s="6" t="s">
        <v>65</v>
      </c>
      <c r="AV2" s="6" t="s">
        <v>66</v>
      </c>
      <c r="AW2" s="8"/>
    </row>
    <row r="3" spans="1:49" x14ac:dyDescent="0.2">
      <c r="A3" s="13">
        <v>1</v>
      </c>
      <c r="B3" s="9">
        <v>38.353869030252</v>
      </c>
      <c r="C3" s="9">
        <f>-28.039051964879</f>
        <v>-28.039051964879</v>
      </c>
      <c r="D3" s="10">
        <v>41035</v>
      </c>
      <c r="E3" s="11">
        <v>0.69618055555555547</v>
      </c>
      <c r="F3" s="11"/>
      <c r="G3" s="11">
        <v>6.9444444444444447E-4</v>
      </c>
      <c r="H3" s="9" t="s">
        <v>3</v>
      </c>
      <c r="I3" s="9" t="s">
        <v>4</v>
      </c>
      <c r="J3" s="9" t="s">
        <v>4</v>
      </c>
      <c r="K3" s="9"/>
      <c r="L3" s="9"/>
      <c r="M3" s="9"/>
      <c r="N3" s="9"/>
      <c r="O3" s="9"/>
      <c r="P3" s="9">
        <v>1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>
        <v>3</v>
      </c>
      <c r="AC3" s="9">
        <v>2</v>
      </c>
      <c r="AD3" s="9">
        <v>1</v>
      </c>
      <c r="AE3" s="9"/>
      <c r="AF3" s="9"/>
      <c r="AG3" s="9"/>
      <c r="AH3" s="9"/>
      <c r="AI3" s="9">
        <v>1</v>
      </c>
      <c r="AJ3" s="9"/>
      <c r="AK3" s="9"/>
      <c r="AL3" s="9"/>
      <c r="AM3" s="9"/>
      <c r="AN3" s="9"/>
      <c r="AO3" s="9"/>
      <c r="AP3" s="9">
        <v>1</v>
      </c>
      <c r="AQ3" s="9"/>
      <c r="AR3" s="9"/>
      <c r="AS3" s="9" t="s">
        <v>53</v>
      </c>
      <c r="AT3" s="9" t="s">
        <v>53</v>
      </c>
      <c r="AU3" s="9"/>
      <c r="AV3" s="9" t="s">
        <v>67</v>
      </c>
      <c r="AW3" s="8"/>
    </row>
    <row r="4" spans="1:49" x14ac:dyDescent="0.2">
      <c r="A4" s="13">
        <v>2</v>
      </c>
      <c r="B4" s="9">
        <v>38.388389982283101</v>
      </c>
      <c r="C4" s="9">
        <f>-28.464987007901</f>
        <v>-28.464987007901001</v>
      </c>
      <c r="D4" s="10">
        <v>41387</v>
      </c>
      <c r="E4" s="11">
        <v>0.75774305555555566</v>
      </c>
      <c r="F4" s="11"/>
      <c r="G4" s="11">
        <v>6.9444444444444447E-4</v>
      </c>
      <c r="H4" s="9" t="s">
        <v>5</v>
      </c>
      <c r="I4" s="9" t="s">
        <v>6</v>
      </c>
      <c r="J4" s="9" t="s">
        <v>6</v>
      </c>
      <c r="K4" s="9"/>
      <c r="L4" s="9"/>
      <c r="M4" s="9"/>
      <c r="N4" s="9"/>
      <c r="O4" s="9"/>
      <c r="P4" s="9">
        <v>1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>
        <v>5</v>
      </c>
      <c r="AC4" s="9">
        <v>5</v>
      </c>
      <c r="AD4" s="9"/>
      <c r="AE4" s="9"/>
      <c r="AF4" s="9"/>
      <c r="AG4" s="9"/>
      <c r="AH4" s="9"/>
      <c r="AI4" s="9">
        <v>1</v>
      </c>
      <c r="AJ4" s="9"/>
      <c r="AK4" s="9"/>
      <c r="AL4" s="9"/>
      <c r="AM4" s="9"/>
      <c r="AN4" s="9">
        <v>1</v>
      </c>
      <c r="AO4" s="9"/>
      <c r="AP4" s="9"/>
      <c r="AQ4" s="9"/>
      <c r="AR4" s="9"/>
      <c r="AS4" s="9" t="s">
        <v>53</v>
      </c>
      <c r="AT4" s="9" t="s">
        <v>53</v>
      </c>
      <c r="AU4" s="9"/>
      <c r="AV4" s="9" t="s">
        <v>67</v>
      </c>
      <c r="AW4" s="8"/>
    </row>
    <row r="5" spans="1:49" x14ac:dyDescent="0.2">
      <c r="A5" s="13">
        <v>3</v>
      </c>
      <c r="B5" s="9">
        <v>38.260794030502403</v>
      </c>
      <c r="C5" s="9">
        <f>-28.2960879709571</f>
        <v>-28.2960879709571</v>
      </c>
      <c r="D5" s="10">
        <v>41394</v>
      </c>
      <c r="E5" s="11">
        <v>0.50837962962962957</v>
      </c>
      <c r="F5" s="11"/>
      <c r="G5" s="11">
        <v>6.9444444444444447E-4</v>
      </c>
      <c r="H5" s="9" t="s">
        <v>7</v>
      </c>
      <c r="I5" s="9" t="s">
        <v>8</v>
      </c>
      <c r="J5" s="9" t="s">
        <v>8</v>
      </c>
      <c r="K5" s="9"/>
      <c r="L5" s="9"/>
      <c r="M5" s="9"/>
      <c r="N5" s="9"/>
      <c r="O5" s="9"/>
      <c r="P5" s="9">
        <v>1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>
        <v>2</v>
      </c>
      <c r="AC5" s="9">
        <v>2</v>
      </c>
      <c r="AD5" s="9"/>
      <c r="AE5" s="9"/>
      <c r="AF5" s="9"/>
      <c r="AG5" s="9"/>
      <c r="AH5" s="9"/>
      <c r="AI5" s="9">
        <v>1</v>
      </c>
      <c r="AJ5" s="9"/>
      <c r="AK5" s="9"/>
      <c r="AL5" s="9"/>
      <c r="AM5" s="9"/>
      <c r="AN5" s="9">
        <v>1</v>
      </c>
      <c r="AO5" s="9"/>
      <c r="AP5" s="9"/>
      <c r="AQ5" s="9"/>
      <c r="AR5" s="9"/>
      <c r="AS5" s="9" t="s">
        <v>53</v>
      </c>
      <c r="AT5" s="9" t="s">
        <v>53</v>
      </c>
      <c r="AU5" s="9"/>
      <c r="AV5" s="9" t="s">
        <v>67</v>
      </c>
      <c r="AW5" s="8"/>
    </row>
    <row r="6" spans="1:49" x14ac:dyDescent="0.2">
      <c r="A6" s="13">
        <v>4</v>
      </c>
      <c r="B6" s="9">
        <v>38.292557001113799</v>
      </c>
      <c r="C6" s="9">
        <f>-28.0621730256825</f>
        <v>-28.062173025682501</v>
      </c>
      <c r="D6" s="10">
        <v>41475</v>
      </c>
      <c r="E6" s="11">
        <v>0.47271990740740738</v>
      </c>
      <c r="F6" s="11"/>
      <c r="G6" s="11">
        <v>6.9444444444444447E-4</v>
      </c>
      <c r="H6" s="9" t="s">
        <v>9</v>
      </c>
      <c r="I6" s="9" t="s">
        <v>10</v>
      </c>
      <c r="J6" s="9" t="s">
        <v>10</v>
      </c>
      <c r="K6" s="9"/>
      <c r="L6" s="9"/>
      <c r="M6" s="9"/>
      <c r="N6" s="9"/>
      <c r="O6" s="9"/>
      <c r="P6" s="9">
        <v>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>
        <v>3</v>
      </c>
      <c r="AC6" s="9">
        <v>3</v>
      </c>
      <c r="AD6" s="9"/>
      <c r="AE6" s="9"/>
      <c r="AF6" s="9"/>
      <c r="AG6" s="9"/>
      <c r="AH6" s="9"/>
      <c r="AI6" s="9"/>
      <c r="AJ6" s="9"/>
      <c r="AK6" s="9">
        <v>1</v>
      </c>
      <c r="AL6" s="9"/>
      <c r="AM6" s="9"/>
      <c r="AN6" s="9">
        <v>1</v>
      </c>
      <c r="AO6" s="9"/>
      <c r="AP6" s="9"/>
      <c r="AQ6" s="9"/>
      <c r="AR6" s="9"/>
      <c r="AS6" s="9" t="s">
        <v>53</v>
      </c>
      <c r="AT6" s="9" t="s">
        <v>53</v>
      </c>
      <c r="AU6" s="9"/>
      <c r="AV6" s="9" t="s">
        <v>67</v>
      </c>
      <c r="AW6" s="8"/>
    </row>
    <row r="7" spans="1:49" x14ac:dyDescent="0.2">
      <c r="A7" s="13">
        <v>5</v>
      </c>
      <c r="B7" s="9">
        <v>38.366514975205</v>
      </c>
      <c r="C7" s="9">
        <f>-28.1322780065238</f>
        <v>-28.132278006523801</v>
      </c>
      <c r="D7" s="10">
        <v>41481</v>
      </c>
      <c r="E7" s="11">
        <v>0.74229166666666668</v>
      </c>
      <c r="F7" s="11"/>
      <c r="G7" s="11">
        <v>6.9444444444444447E-4</v>
      </c>
      <c r="H7" s="9" t="s">
        <v>11</v>
      </c>
      <c r="I7" s="9" t="s">
        <v>12</v>
      </c>
      <c r="J7" s="9" t="s">
        <v>12</v>
      </c>
      <c r="K7" s="9"/>
      <c r="L7" s="9"/>
      <c r="M7" s="9"/>
      <c r="N7" s="9"/>
      <c r="O7" s="9"/>
      <c r="P7" s="9">
        <v>1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>
        <v>3</v>
      </c>
      <c r="AC7" s="9">
        <v>3</v>
      </c>
      <c r="AD7" s="9"/>
      <c r="AE7" s="9"/>
      <c r="AF7" s="9"/>
      <c r="AG7" s="9"/>
      <c r="AH7" s="9"/>
      <c r="AI7" s="9">
        <v>1</v>
      </c>
      <c r="AJ7" s="9"/>
      <c r="AK7" s="9"/>
      <c r="AL7" s="9"/>
      <c r="AM7" s="9">
        <v>1</v>
      </c>
      <c r="AN7" s="9"/>
      <c r="AO7" s="9"/>
      <c r="AP7" s="9"/>
      <c r="AQ7" s="9"/>
      <c r="AR7" s="9"/>
      <c r="AS7" s="9" t="s">
        <v>53</v>
      </c>
      <c r="AT7" s="9" t="s">
        <v>53</v>
      </c>
      <c r="AU7" s="9"/>
      <c r="AV7" s="9" t="s">
        <v>67</v>
      </c>
      <c r="AW7" s="8"/>
    </row>
    <row r="8" spans="1:49" x14ac:dyDescent="0.2">
      <c r="A8" s="13">
        <v>6</v>
      </c>
      <c r="B8" s="9">
        <v>38.271394036710198</v>
      </c>
      <c r="C8" s="9">
        <f>-28.4660009667277</f>
        <v>-28.466000966727702</v>
      </c>
      <c r="D8" s="10">
        <v>42155</v>
      </c>
      <c r="E8" s="11">
        <v>0.68174768518518514</v>
      </c>
      <c r="F8" s="11">
        <v>0.68893518518518526</v>
      </c>
      <c r="G8" s="11">
        <f t="shared" ref="G8:G11" si="0">F8-E8</f>
        <v>7.1875000000001243E-3</v>
      </c>
      <c r="H8" s="9" t="s">
        <v>13</v>
      </c>
      <c r="I8" s="9" t="s">
        <v>14</v>
      </c>
      <c r="J8" s="9" t="s">
        <v>16</v>
      </c>
      <c r="K8" s="9"/>
      <c r="L8" s="9"/>
      <c r="M8" s="9"/>
      <c r="N8" s="9"/>
      <c r="O8" s="9"/>
      <c r="P8" s="9">
        <v>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>
        <v>5</v>
      </c>
      <c r="AC8" s="9">
        <v>5</v>
      </c>
      <c r="AD8" s="9"/>
      <c r="AE8" s="9"/>
      <c r="AF8" s="9"/>
      <c r="AG8" s="9"/>
      <c r="AH8" s="9"/>
      <c r="AI8" s="9"/>
      <c r="AJ8" s="9">
        <v>1</v>
      </c>
      <c r="AK8" s="9"/>
      <c r="AL8" s="9"/>
      <c r="AM8" s="9"/>
      <c r="AN8" s="9">
        <v>1</v>
      </c>
      <c r="AO8" s="9"/>
      <c r="AP8" s="9"/>
      <c r="AQ8" s="9"/>
      <c r="AR8" s="9"/>
      <c r="AS8" s="9">
        <v>2</v>
      </c>
      <c r="AT8" s="9" t="s">
        <v>53</v>
      </c>
      <c r="AU8" s="9"/>
      <c r="AV8" s="9" t="s">
        <v>67</v>
      </c>
      <c r="AW8" s="8"/>
    </row>
    <row r="9" spans="1:49" x14ac:dyDescent="0.2">
      <c r="A9" s="13">
        <v>7</v>
      </c>
      <c r="B9" s="9">
        <v>38.392681013792703</v>
      </c>
      <c r="C9" s="9">
        <f>-28.4533710312098</f>
        <v>-28.453371031209802</v>
      </c>
      <c r="D9" s="10">
        <v>42210</v>
      </c>
      <c r="E9" s="11">
        <v>0.69379629629629624</v>
      </c>
      <c r="F9" s="11"/>
      <c r="G9" s="11">
        <v>6.9444444444444447E-4</v>
      </c>
      <c r="H9" s="9" t="s">
        <v>17</v>
      </c>
      <c r="I9" s="9" t="s">
        <v>18</v>
      </c>
      <c r="J9" s="9" t="s">
        <v>18</v>
      </c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>
        <v>1</v>
      </c>
      <c r="AC9" s="9">
        <v>1</v>
      </c>
      <c r="AD9" s="9"/>
      <c r="AE9" s="9"/>
      <c r="AF9" s="9"/>
      <c r="AG9" s="9"/>
      <c r="AH9" s="9"/>
      <c r="AI9" s="9">
        <v>1</v>
      </c>
      <c r="AJ9" s="9"/>
      <c r="AK9" s="9"/>
      <c r="AL9" s="9"/>
      <c r="AM9" s="9"/>
      <c r="AN9" s="9">
        <v>1</v>
      </c>
      <c r="AO9" s="9"/>
      <c r="AP9" s="9"/>
      <c r="AQ9" s="9"/>
      <c r="AR9" s="9"/>
      <c r="AS9" s="9">
        <v>1</v>
      </c>
      <c r="AT9" s="9" t="s">
        <v>53</v>
      </c>
      <c r="AU9" s="9"/>
      <c r="AV9" s="9" t="s">
        <v>67</v>
      </c>
      <c r="AW9" s="8"/>
    </row>
    <row r="10" spans="1:49" x14ac:dyDescent="0.2">
      <c r="A10" s="13">
        <v>8</v>
      </c>
      <c r="B10" s="9">
        <v>38.361828988417898</v>
      </c>
      <c r="C10" s="9">
        <f>-28.3670169766992</f>
        <v>-28.367016976699201</v>
      </c>
      <c r="D10" s="10">
        <v>42467</v>
      </c>
      <c r="E10" s="11">
        <v>0.77236111111111105</v>
      </c>
      <c r="F10" s="11"/>
      <c r="G10" s="11">
        <v>6.9444444444444447E-4</v>
      </c>
      <c r="H10" s="9" t="s">
        <v>19</v>
      </c>
      <c r="I10" s="9" t="s">
        <v>20</v>
      </c>
      <c r="J10" s="9" t="s">
        <v>20</v>
      </c>
      <c r="K10" s="9"/>
      <c r="L10" s="9">
        <v>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>
        <v>2</v>
      </c>
      <c r="AC10" s="9">
        <v>2</v>
      </c>
      <c r="AD10" s="9"/>
      <c r="AE10" s="9"/>
      <c r="AF10" s="9"/>
      <c r="AG10" s="9"/>
      <c r="AH10" s="9"/>
      <c r="AI10" s="9">
        <v>1</v>
      </c>
      <c r="AJ10" s="9"/>
      <c r="AK10" s="9"/>
      <c r="AL10" s="9"/>
      <c r="AM10" s="9">
        <v>1</v>
      </c>
      <c r="AN10" s="9"/>
      <c r="AO10" s="9"/>
      <c r="AP10" s="9"/>
      <c r="AQ10" s="9"/>
      <c r="AR10" s="9"/>
      <c r="AS10" s="9">
        <v>1</v>
      </c>
      <c r="AT10" s="9" t="s">
        <v>53</v>
      </c>
      <c r="AU10" s="9"/>
      <c r="AV10" s="9" t="s">
        <v>67</v>
      </c>
      <c r="AW10" s="8"/>
    </row>
    <row r="11" spans="1:49" x14ac:dyDescent="0.2">
      <c r="A11" s="13">
        <v>9</v>
      </c>
      <c r="B11" s="9">
        <v>38.363044029101701</v>
      </c>
      <c r="C11" s="9">
        <f>-28.2816170342266</f>
        <v>-28.281617034226599</v>
      </c>
      <c r="D11" s="10">
        <v>42536</v>
      </c>
      <c r="E11" s="11">
        <v>0.42592592592592587</v>
      </c>
      <c r="F11" s="11">
        <v>0.43037037037037035</v>
      </c>
      <c r="G11" s="11">
        <f t="shared" si="0"/>
        <v>4.4444444444444731E-3</v>
      </c>
      <c r="H11" s="9" t="s">
        <v>21</v>
      </c>
      <c r="I11" s="9" t="s">
        <v>22</v>
      </c>
      <c r="J11" s="9" t="s">
        <v>20</v>
      </c>
      <c r="K11" s="9"/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>
        <v>2</v>
      </c>
      <c r="AC11" s="9">
        <v>2</v>
      </c>
      <c r="AD11" s="9"/>
      <c r="AE11" s="9"/>
      <c r="AF11" s="9"/>
      <c r="AG11" s="9"/>
      <c r="AH11" s="9"/>
      <c r="AI11" s="9">
        <v>1</v>
      </c>
      <c r="AJ11" s="9"/>
      <c r="AK11" s="9"/>
      <c r="AL11" s="9"/>
      <c r="AM11" s="9">
        <v>1</v>
      </c>
      <c r="AN11" s="9"/>
      <c r="AO11" s="9"/>
      <c r="AP11" s="9"/>
      <c r="AQ11" s="9"/>
      <c r="AR11" s="9"/>
      <c r="AS11" s="9">
        <v>1</v>
      </c>
      <c r="AT11" s="9" t="s">
        <v>53</v>
      </c>
      <c r="AU11" s="9"/>
      <c r="AV11" s="9" t="s">
        <v>67</v>
      </c>
      <c r="AW11" s="8"/>
    </row>
    <row r="12" spans="1:49" ht="17" thickBot="1" x14ac:dyDescent="0.25">
      <c r="A12" s="13">
        <v>10</v>
      </c>
      <c r="B12" s="14">
        <v>38.301644995808601</v>
      </c>
      <c r="C12" s="14">
        <f>-28.2240920327603</f>
        <v>-28.2240920327603</v>
      </c>
      <c r="D12" s="15">
        <v>42564</v>
      </c>
      <c r="E12" s="16">
        <v>0.6893055555555555</v>
      </c>
      <c r="F12" s="16"/>
      <c r="G12" s="16">
        <v>6.9444444444444447E-4</v>
      </c>
      <c r="H12" s="14" t="s">
        <v>24</v>
      </c>
      <c r="I12" s="14" t="s">
        <v>25</v>
      </c>
      <c r="J12" s="14" t="s">
        <v>25</v>
      </c>
      <c r="K12" s="14"/>
      <c r="L12" s="14">
        <v>1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>
        <v>1</v>
      </c>
      <c r="AA12" s="14"/>
      <c r="AB12" s="14">
        <v>10</v>
      </c>
      <c r="AC12" s="14">
        <v>7</v>
      </c>
      <c r="AD12" s="14"/>
      <c r="AE12" s="14">
        <v>3</v>
      </c>
      <c r="AF12" s="14"/>
      <c r="AG12" s="14"/>
      <c r="AH12" s="14"/>
      <c r="AI12" s="14">
        <v>1</v>
      </c>
      <c r="AJ12" s="14"/>
      <c r="AK12" s="14"/>
      <c r="AL12" s="14">
        <v>1</v>
      </c>
      <c r="AM12" s="14"/>
      <c r="AN12" s="14"/>
      <c r="AO12" s="14"/>
      <c r="AP12" s="14"/>
      <c r="AQ12" s="14"/>
      <c r="AR12" s="14"/>
      <c r="AS12" s="14">
        <v>2</v>
      </c>
      <c r="AT12" s="14" t="s">
        <v>53</v>
      </c>
      <c r="AU12" s="14"/>
      <c r="AV12" s="14" t="s">
        <v>67</v>
      </c>
      <c r="AW12" s="17"/>
    </row>
  </sheetData>
  <mergeCells count="4">
    <mergeCell ref="K1:AA1"/>
    <mergeCell ref="AB1:AG1"/>
    <mergeCell ref="AH1:AK1"/>
    <mergeCell ref="AL1:A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B4C2-1ECD-5C4D-A471-82CA99E0533A}">
  <dimension ref="A1:I11"/>
  <sheetViews>
    <sheetView workbookViewId="0">
      <selection activeCell="H1" activeCellId="1" sqref="A1:D11 H1:H11"/>
    </sheetView>
  </sheetViews>
  <sheetFormatPr baseColWidth="10" defaultRowHeight="16" x14ac:dyDescent="0.2"/>
  <cols>
    <col min="4" max="5" width="19.6640625" bestFit="1" customWidth="1"/>
    <col min="6" max="8" width="19.6640625" customWidth="1"/>
    <col min="9" max="9" width="16.83203125" bestFit="1" customWidth="1"/>
  </cols>
  <sheetData>
    <row r="1" spans="1:9" x14ac:dyDescent="0.2">
      <c r="A1" s="13" t="s">
        <v>26</v>
      </c>
      <c r="B1" s="9" t="s">
        <v>0</v>
      </c>
      <c r="C1" s="9" t="s">
        <v>1</v>
      </c>
      <c r="D1" s="9" t="s">
        <v>27</v>
      </c>
      <c r="E1" s="18" t="s">
        <v>85</v>
      </c>
      <c r="F1" s="9" t="s">
        <v>86</v>
      </c>
      <c r="G1" s="9" t="s">
        <v>87</v>
      </c>
      <c r="H1" s="9" t="s">
        <v>68</v>
      </c>
      <c r="I1" s="9" t="s">
        <v>2</v>
      </c>
    </row>
    <row r="2" spans="1:9" x14ac:dyDescent="0.2">
      <c r="A2" s="13">
        <v>1</v>
      </c>
      <c r="B2" s="9">
        <v>38.353869030252</v>
      </c>
      <c r="C2" s="9">
        <f>-28.039051964879</f>
        <v>-28.039051964879</v>
      </c>
      <c r="D2" s="10">
        <v>41035</v>
      </c>
      <c r="E2" s="18" t="s">
        <v>69</v>
      </c>
      <c r="F2" s="18" t="s">
        <v>70</v>
      </c>
      <c r="G2" s="18" t="s">
        <v>71</v>
      </c>
      <c r="H2" s="11">
        <v>0.69618055555555547</v>
      </c>
      <c r="I2" s="9" t="s">
        <v>3</v>
      </c>
    </row>
    <row r="3" spans="1:9" x14ac:dyDescent="0.2">
      <c r="A3" s="13">
        <v>2</v>
      </c>
      <c r="B3" s="9">
        <v>38.388389982283101</v>
      </c>
      <c r="C3" s="9">
        <f>-28.464987007901</f>
        <v>-28.464987007901001</v>
      </c>
      <c r="D3" s="10">
        <v>41387</v>
      </c>
      <c r="E3" s="18" t="s">
        <v>72</v>
      </c>
      <c r="F3" s="18" t="s">
        <v>73</v>
      </c>
      <c r="G3" s="18" t="s">
        <v>74</v>
      </c>
      <c r="H3" s="11">
        <v>0.75774305555555566</v>
      </c>
      <c r="I3" s="9" t="s">
        <v>5</v>
      </c>
    </row>
    <row r="4" spans="1:9" x14ac:dyDescent="0.2">
      <c r="A4" s="13">
        <v>3</v>
      </c>
      <c r="B4" s="9">
        <v>38.260794030502403</v>
      </c>
      <c r="C4" s="9">
        <f>-28.2960879709571</f>
        <v>-28.2960879709571</v>
      </c>
      <c r="D4" s="10">
        <v>41394</v>
      </c>
      <c r="E4" s="18" t="s">
        <v>75</v>
      </c>
      <c r="F4" s="18" t="s">
        <v>73</v>
      </c>
      <c r="G4" s="18" t="s">
        <v>74</v>
      </c>
      <c r="H4" s="11">
        <v>0.50837962962962957</v>
      </c>
      <c r="I4" s="9" t="s">
        <v>7</v>
      </c>
    </row>
    <row r="5" spans="1:9" x14ac:dyDescent="0.2">
      <c r="A5" s="13">
        <v>4</v>
      </c>
      <c r="B5" s="9">
        <v>38.292557001113799</v>
      </c>
      <c r="C5" s="9">
        <f>-28.0621730256825</f>
        <v>-28.062173025682501</v>
      </c>
      <c r="D5" s="10">
        <v>41475</v>
      </c>
      <c r="E5" s="18" t="s">
        <v>76</v>
      </c>
      <c r="F5" s="18" t="s">
        <v>77</v>
      </c>
      <c r="G5" s="18" t="s">
        <v>74</v>
      </c>
      <c r="H5" s="11">
        <v>0.47271990740740738</v>
      </c>
      <c r="I5" s="9" t="s">
        <v>9</v>
      </c>
    </row>
    <row r="6" spans="1:9" x14ac:dyDescent="0.2">
      <c r="A6" s="13">
        <v>5</v>
      </c>
      <c r="B6" s="9">
        <v>38.366514975205</v>
      </c>
      <c r="C6" s="9">
        <f>-28.1322780065238</f>
        <v>-28.132278006523801</v>
      </c>
      <c r="D6" s="10">
        <v>41481</v>
      </c>
      <c r="E6" s="18" t="s">
        <v>78</v>
      </c>
      <c r="F6" s="18" t="s">
        <v>77</v>
      </c>
      <c r="G6" s="18" t="s">
        <v>74</v>
      </c>
      <c r="H6" s="11">
        <v>0.74229166666666668</v>
      </c>
      <c r="I6" s="9" t="s">
        <v>11</v>
      </c>
    </row>
    <row r="7" spans="1:9" x14ac:dyDescent="0.2">
      <c r="A7" s="13">
        <v>6</v>
      </c>
      <c r="B7" s="9">
        <v>38.271394036710198</v>
      </c>
      <c r="C7" s="9">
        <f>-28.4660009667277</f>
        <v>-28.466000966727702</v>
      </c>
      <c r="D7" s="10">
        <v>42155</v>
      </c>
      <c r="E7" s="18" t="s">
        <v>79</v>
      </c>
      <c r="F7" s="18" t="s">
        <v>70</v>
      </c>
      <c r="G7" s="18" t="s">
        <v>80</v>
      </c>
      <c r="H7" s="11">
        <v>0.68174768518518514</v>
      </c>
      <c r="I7" s="9" t="s">
        <v>13</v>
      </c>
    </row>
    <row r="8" spans="1:9" x14ac:dyDescent="0.2">
      <c r="A8" s="13">
        <v>7</v>
      </c>
      <c r="B8" s="9">
        <v>38.392681013792703</v>
      </c>
      <c r="C8" s="9">
        <f>-28.4533710312098</f>
        <v>-28.453371031209802</v>
      </c>
      <c r="D8" s="10">
        <v>42210</v>
      </c>
      <c r="E8" s="18" t="s">
        <v>81</v>
      </c>
      <c r="F8" s="18" t="s">
        <v>77</v>
      </c>
      <c r="G8" s="18" t="s">
        <v>80</v>
      </c>
      <c r="H8" s="11">
        <v>0.69379629629629624</v>
      </c>
      <c r="I8" s="9" t="s">
        <v>17</v>
      </c>
    </row>
    <row r="9" spans="1:9" x14ac:dyDescent="0.2">
      <c r="A9" s="13">
        <v>8</v>
      </c>
      <c r="B9" s="9">
        <v>38.361828988417898</v>
      </c>
      <c r="C9" s="9">
        <f>-28.3670169766992</f>
        <v>-28.367016976699201</v>
      </c>
      <c r="D9" s="10">
        <v>42467</v>
      </c>
      <c r="E9" s="18" t="s">
        <v>77</v>
      </c>
      <c r="F9" s="18" t="s">
        <v>73</v>
      </c>
      <c r="G9" s="18" t="s">
        <v>82</v>
      </c>
      <c r="H9" s="11">
        <v>0.77236111111111105</v>
      </c>
      <c r="I9" s="9" t="s">
        <v>19</v>
      </c>
    </row>
    <row r="10" spans="1:9" x14ac:dyDescent="0.2">
      <c r="A10" s="13">
        <v>9</v>
      </c>
      <c r="B10" s="9">
        <v>38.363044029101701</v>
      </c>
      <c r="C10" s="9">
        <f>-28.2816170342266</f>
        <v>-28.281617034226599</v>
      </c>
      <c r="D10" s="10">
        <v>42536</v>
      </c>
      <c r="E10" s="18" t="s">
        <v>83</v>
      </c>
      <c r="F10" s="18" t="s">
        <v>69</v>
      </c>
      <c r="G10" s="18" t="s">
        <v>82</v>
      </c>
      <c r="H10" s="11">
        <v>0.42592592592592587</v>
      </c>
      <c r="I10" s="9" t="s">
        <v>21</v>
      </c>
    </row>
    <row r="11" spans="1:9" ht="17" thickBot="1" x14ac:dyDescent="0.25">
      <c r="A11" s="13">
        <v>10</v>
      </c>
      <c r="B11" s="14">
        <v>38.301644995808601</v>
      </c>
      <c r="C11" s="14">
        <f>-28.2240920327603</f>
        <v>-28.2240920327603</v>
      </c>
      <c r="D11" s="15">
        <v>42564</v>
      </c>
      <c r="E11" s="19" t="s">
        <v>84</v>
      </c>
      <c r="F11" s="19" t="s">
        <v>77</v>
      </c>
      <c r="G11" s="19" t="s">
        <v>82</v>
      </c>
      <c r="H11" s="16">
        <v>0.6893055555555555</v>
      </c>
      <c r="I11" s="1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313F-C512-254C-8019-DA7A370D76E1}">
  <dimension ref="A1:AZ12"/>
  <sheetViews>
    <sheetView tabSelected="1" workbookViewId="0">
      <selection activeCell="BA1" sqref="BA1:BO1048576"/>
    </sheetView>
  </sheetViews>
  <sheetFormatPr baseColWidth="10" defaultRowHeight="16" x14ac:dyDescent="0.2"/>
  <cols>
    <col min="11" max="11" width="16.83203125" bestFit="1" customWidth="1"/>
  </cols>
  <sheetData>
    <row r="1" spans="1:52" ht="18" x14ac:dyDescent="0.2">
      <c r="A1" s="1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0" t="s">
        <v>33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 t="s">
        <v>34</v>
      </c>
      <c r="AF1" s="20"/>
      <c r="AG1" s="20"/>
      <c r="AH1" s="20"/>
      <c r="AI1" s="20"/>
      <c r="AJ1" s="20"/>
      <c r="AK1" s="20" t="s">
        <v>35</v>
      </c>
      <c r="AL1" s="20"/>
      <c r="AM1" s="20"/>
      <c r="AN1" s="20"/>
      <c r="AO1" s="20" t="s">
        <v>36</v>
      </c>
      <c r="AP1" s="20"/>
      <c r="AQ1" s="20"/>
      <c r="AR1" s="20"/>
      <c r="AS1" s="20"/>
      <c r="AT1" s="20"/>
      <c r="AU1" s="20"/>
      <c r="AV1" s="3"/>
      <c r="AW1" s="3"/>
      <c r="AX1" s="3"/>
      <c r="AY1" s="3"/>
      <c r="AZ1" s="4"/>
    </row>
    <row r="2" spans="1:52" ht="18" x14ac:dyDescent="0.2">
      <c r="A2" s="13" t="s">
        <v>26</v>
      </c>
      <c r="B2" s="9" t="s">
        <v>0</v>
      </c>
      <c r="C2" s="9" t="s">
        <v>1</v>
      </c>
      <c r="D2" s="9" t="s">
        <v>27</v>
      </c>
      <c r="E2" s="18" t="s">
        <v>85</v>
      </c>
      <c r="F2" s="9" t="s">
        <v>86</v>
      </c>
      <c r="G2" s="9" t="s">
        <v>87</v>
      </c>
      <c r="H2" s="9" t="s">
        <v>30</v>
      </c>
      <c r="I2" s="9" t="s">
        <v>88</v>
      </c>
      <c r="J2" s="9" t="s">
        <v>32</v>
      </c>
      <c r="K2" s="9" t="s">
        <v>2</v>
      </c>
      <c r="L2" s="9" t="s">
        <v>29</v>
      </c>
      <c r="M2" s="9"/>
      <c r="N2" s="5" t="s">
        <v>37</v>
      </c>
      <c r="O2" s="6" t="s">
        <v>38</v>
      </c>
      <c r="P2" s="6" t="s">
        <v>39</v>
      </c>
      <c r="Q2" s="6" t="s">
        <v>40</v>
      </c>
      <c r="R2" s="6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50</v>
      </c>
      <c r="AB2" s="6" t="s">
        <v>51</v>
      </c>
      <c r="AC2" s="6" t="s">
        <v>52</v>
      </c>
      <c r="AD2" s="6" t="s">
        <v>53</v>
      </c>
      <c r="AE2" s="6" t="s">
        <v>54</v>
      </c>
      <c r="AF2" s="6" t="s">
        <v>55</v>
      </c>
      <c r="AG2" s="6" t="s">
        <v>56</v>
      </c>
      <c r="AH2" s="6" t="s">
        <v>57</v>
      </c>
      <c r="AI2" s="6" t="s">
        <v>58</v>
      </c>
      <c r="AJ2" s="6" t="s">
        <v>53</v>
      </c>
      <c r="AK2" s="6" t="s">
        <v>59</v>
      </c>
      <c r="AL2" s="7" t="s">
        <v>60</v>
      </c>
      <c r="AM2" s="6" t="s">
        <v>61</v>
      </c>
      <c r="AN2" s="6" t="s">
        <v>62</v>
      </c>
      <c r="AO2" s="6">
        <v>0</v>
      </c>
      <c r="AP2" s="6">
        <v>1</v>
      </c>
      <c r="AQ2" s="6">
        <v>2</v>
      </c>
      <c r="AR2" s="6">
        <v>3</v>
      </c>
      <c r="AS2" s="6">
        <v>4</v>
      </c>
      <c r="AT2" s="6">
        <v>5</v>
      </c>
      <c r="AU2" s="6" t="s">
        <v>53</v>
      </c>
      <c r="AV2" s="6" t="s">
        <v>63</v>
      </c>
      <c r="AW2" s="6" t="s">
        <v>64</v>
      </c>
      <c r="AX2" s="6" t="s">
        <v>65</v>
      </c>
      <c r="AY2" s="6" t="s">
        <v>66</v>
      </c>
      <c r="AZ2" s="8"/>
    </row>
    <row r="3" spans="1:52" x14ac:dyDescent="0.2">
      <c r="A3" s="13">
        <v>1</v>
      </c>
      <c r="B3" s="9">
        <v>38.353869030252</v>
      </c>
      <c r="C3" s="9">
        <f>-28.039051964879</f>
        <v>-28.039051964879</v>
      </c>
      <c r="D3" s="10">
        <v>41035</v>
      </c>
      <c r="E3" s="18" t="s">
        <v>69</v>
      </c>
      <c r="F3" s="18" t="s">
        <v>70</v>
      </c>
      <c r="G3" s="18" t="s">
        <v>71</v>
      </c>
      <c r="H3" s="11">
        <v>0.69618055555555547</v>
      </c>
      <c r="I3" s="11"/>
      <c r="J3" s="11">
        <v>6.9444444444444447E-4</v>
      </c>
      <c r="K3" s="9" t="s">
        <v>3</v>
      </c>
      <c r="L3" s="9" t="s">
        <v>4</v>
      </c>
      <c r="M3" s="9" t="s">
        <v>4</v>
      </c>
      <c r="N3" s="9"/>
      <c r="O3" s="9"/>
      <c r="P3" s="9"/>
      <c r="Q3" s="9"/>
      <c r="R3" s="9"/>
      <c r="S3" s="9">
        <v>1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>
        <v>3</v>
      </c>
      <c r="AF3" s="9">
        <v>2</v>
      </c>
      <c r="AG3" s="9">
        <v>1</v>
      </c>
      <c r="AH3" s="9"/>
      <c r="AI3" s="9"/>
      <c r="AJ3" s="9"/>
      <c r="AK3" s="9"/>
      <c r="AL3" s="9">
        <v>1</v>
      </c>
      <c r="AM3" s="9"/>
      <c r="AN3" s="9"/>
      <c r="AO3" s="9"/>
      <c r="AP3" s="9"/>
      <c r="AQ3" s="9"/>
      <c r="AR3" s="9"/>
      <c r="AS3" s="9">
        <v>1</v>
      </c>
      <c r="AT3" s="9"/>
      <c r="AU3" s="9"/>
      <c r="AV3" s="9" t="s">
        <v>53</v>
      </c>
      <c r="AW3" s="9" t="s">
        <v>53</v>
      </c>
      <c r="AX3" s="9"/>
      <c r="AY3" s="9" t="s">
        <v>67</v>
      </c>
      <c r="AZ3" s="8"/>
    </row>
    <row r="4" spans="1:52" x14ac:dyDescent="0.2">
      <c r="A4" s="13">
        <v>2</v>
      </c>
      <c r="B4" s="9">
        <v>38.388389982283101</v>
      </c>
      <c r="C4" s="9">
        <f>-28.464987007901</f>
        <v>-28.464987007901001</v>
      </c>
      <c r="D4" s="10">
        <v>41387</v>
      </c>
      <c r="E4" s="18" t="s">
        <v>72</v>
      </c>
      <c r="F4" s="18" t="s">
        <v>73</v>
      </c>
      <c r="G4" s="18" t="s">
        <v>74</v>
      </c>
      <c r="H4" s="11">
        <v>0.75774305555555566</v>
      </c>
      <c r="I4" s="11"/>
      <c r="J4" s="11">
        <v>6.9444444444444447E-4</v>
      </c>
      <c r="K4" s="9" t="s">
        <v>5</v>
      </c>
      <c r="L4" s="9" t="s">
        <v>6</v>
      </c>
      <c r="M4" s="9" t="s">
        <v>6</v>
      </c>
      <c r="N4" s="9"/>
      <c r="O4" s="9"/>
      <c r="P4" s="9"/>
      <c r="Q4" s="9"/>
      <c r="R4" s="9"/>
      <c r="S4" s="9">
        <v>1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>
        <v>5</v>
      </c>
      <c r="AF4" s="9">
        <v>5</v>
      </c>
      <c r="AG4" s="9"/>
      <c r="AH4" s="9"/>
      <c r="AI4" s="9"/>
      <c r="AJ4" s="9"/>
      <c r="AK4" s="9"/>
      <c r="AL4" s="9">
        <v>1</v>
      </c>
      <c r="AM4" s="9"/>
      <c r="AN4" s="9"/>
      <c r="AO4" s="9"/>
      <c r="AP4" s="9"/>
      <c r="AQ4" s="9">
        <v>1</v>
      </c>
      <c r="AR4" s="9"/>
      <c r="AS4" s="9"/>
      <c r="AT4" s="9"/>
      <c r="AU4" s="9"/>
      <c r="AV4" s="9" t="s">
        <v>53</v>
      </c>
      <c r="AW4" s="9" t="s">
        <v>53</v>
      </c>
      <c r="AX4" s="9"/>
      <c r="AY4" s="9" t="s">
        <v>67</v>
      </c>
      <c r="AZ4" s="8"/>
    </row>
    <row r="5" spans="1:52" x14ac:dyDescent="0.2">
      <c r="A5" s="13">
        <v>3</v>
      </c>
      <c r="B5" s="9">
        <v>38.260794030502403</v>
      </c>
      <c r="C5" s="9">
        <f>-28.2960879709571</f>
        <v>-28.2960879709571</v>
      </c>
      <c r="D5" s="10">
        <v>41394</v>
      </c>
      <c r="E5" s="18" t="s">
        <v>75</v>
      </c>
      <c r="F5" s="18" t="s">
        <v>73</v>
      </c>
      <c r="G5" s="18" t="s">
        <v>74</v>
      </c>
      <c r="H5" s="11">
        <v>0.50837962962962957</v>
      </c>
      <c r="I5" s="11"/>
      <c r="J5" s="11">
        <v>6.9444444444444447E-4</v>
      </c>
      <c r="K5" s="9" t="s">
        <v>7</v>
      </c>
      <c r="L5" s="9" t="s">
        <v>8</v>
      </c>
      <c r="M5" s="9" t="s">
        <v>8</v>
      </c>
      <c r="N5" s="9"/>
      <c r="O5" s="9"/>
      <c r="P5" s="9"/>
      <c r="Q5" s="9"/>
      <c r="R5" s="9"/>
      <c r="S5" s="9">
        <v>1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>
        <v>2</v>
      </c>
      <c r="AF5" s="9">
        <v>2</v>
      </c>
      <c r="AG5" s="9"/>
      <c r="AH5" s="9"/>
      <c r="AI5" s="9"/>
      <c r="AJ5" s="9"/>
      <c r="AK5" s="9"/>
      <c r="AL5" s="9">
        <v>1</v>
      </c>
      <c r="AM5" s="9"/>
      <c r="AN5" s="9"/>
      <c r="AO5" s="9"/>
      <c r="AP5" s="9"/>
      <c r="AQ5" s="9">
        <v>1</v>
      </c>
      <c r="AR5" s="9"/>
      <c r="AS5" s="9"/>
      <c r="AT5" s="9"/>
      <c r="AU5" s="9"/>
      <c r="AV5" s="9" t="s">
        <v>53</v>
      </c>
      <c r="AW5" s="9" t="s">
        <v>53</v>
      </c>
      <c r="AX5" s="9"/>
      <c r="AY5" s="9" t="s">
        <v>67</v>
      </c>
      <c r="AZ5" s="8"/>
    </row>
    <row r="6" spans="1:52" x14ac:dyDescent="0.2">
      <c r="A6" s="13">
        <v>4</v>
      </c>
      <c r="B6" s="9">
        <v>38.292557001113799</v>
      </c>
      <c r="C6" s="9">
        <f>-28.0621730256825</f>
        <v>-28.062173025682501</v>
      </c>
      <c r="D6" s="10">
        <v>41475</v>
      </c>
      <c r="E6" s="18" t="s">
        <v>76</v>
      </c>
      <c r="F6" s="18" t="s">
        <v>77</v>
      </c>
      <c r="G6" s="18" t="s">
        <v>74</v>
      </c>
      <c r="H6" s="11">
        <v>0.47271990740740738</v>
      </c>
      <c r="I6" s="11"/>
      <c r="J6" s="11">
        <v>6.9444444444444447E-4</v>
      </c>
      <c r="K6" s="9" t="s">
        <v>9</v>
      </c>
      <c r="L6" s="9" t="s">
        <v>10</v>
      </c>
      <c r="M6" s="9" t="s">
        <v>10</v>
      </c>
      <c r="N6" s="9"/>
      <c r="O6" s="9"/>
      <c r="P6" s="9"/>
      <c r="Q6" s="9"/>
      <c r="R6" s="9"/>
      <c r="S6" s="9">
        <v>1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>
        <v>3</v>
      </c>
      <c r="AF6" s="9">
        <v>3</v>
      </c>
      <c r="AG6" s="9"/>
      <c r="AH6" s="9"/>
      <c r="AI6" s="9"/>
      <c r="AJ6" s="9"/>
      <c r="AK6" s="9"/>
      <c r="AL6" s="9"/>
      <c r="AM6" s="9"/>
      <c r="AN6" s="9">
        <v>1</v>
      </c>
      <c r="AO6" s="9"/>
      <c r="AP6" s="9"/>
      <c r="AQ6" s="9">
        <v>1</v>
      </c>
      <c r="AR6" s="9"/>
      <c r="AS6" s="9"/>
      <c r="AT6" s="9"/>
      <c r="AU6" s="9"/>
      <c r="AV6" s="9" t="s">
        <v>53</v>
      </c>
      <c r="AW6" s="9" t="s">
        <v>53</v>
      </c>
      <c r="AX6" s="9"/>
      <c r="AY6" s="9" t="s">
        <v>67</v>
      </c>
      <c r="AZ6" s="8"/>
    </row>
    <row r="7" spans="1:52" x14ac:dyDescent="0.2">
      <c r="A7" s="13">
        <v>5</v>
      </c>
      <c r="B7" s="9">
        <v>38.366514975205</v>
      </c>
      <c r="C7" s="9">
        <f>-28.1322780065238</f>
        <v>-28.132278006523801</v>
      </c>
      <c r="D7" s="10">
        <v>41481</v>
      </c>
      <c r="E7" s="18" t="s">
        <v>78</v>
      </c>
      <c r="F7" s="18" t="s">
        <v>77</v>
      </c>
      <c r="G7" s="18" t="s">
        <v>74</v>
      </c>
      <c r="H7" s="11">
        <v>0.74229166666666668</v>
      </c>
      <c r="I7" s="11"/>
      <c r="J7" s="11">
        <v>6.9444444444444447E-4</v>
      </c>
      <c r="K7" s="9" t="s">
        <v>11</v>
      </c>
      <c r="L7" s="9" t="s">
        <v>12</v>
      </c>
      <c r="M7" s="9" t="s">
        <v>12</v>
      </c>
      <c r="N7" s="9"/>
      <c r="O7" s="9"/>
      <c r="P7" s="9"/>
      <c r="Q7" s="9"/>
      <c r="R7" s="9"/>
      <c r="S7" s="9">
        <v>1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>
        <v>3</v>
      </c>
      <c r="AF7" s="9">
        <v>3</v>
      </c>
      <c r="AG7" s="9"/>
      <c r="AH7" s="9"/>
      <c r="AI7" s="9"/>
      <c r="AJ7" s="9"/>
      <c r="AK7" s="9"/>
      <c r="AL7" s="9">
        <v>1</v>
      </c>
      <c r="AM7" s="9"/>
      <c r="AN7" s="9"/>
      <c r="AO7" s="9"/>
      <c r="AP7" s="9">
        <v>1</v>
      </c>
      <c r="AQ7" s="9"/>
      <c r="AR7" s="9"/>
      <c r="AS7" s="9"/>
      <c r="AT7" s="9"/>
      <c r="AU7" s="9"/>
      <c r="AV7" s="9" t="s">
        <v>53</v>
      </c>
      <c r="AW7" s="9" t="s">
        <v>53</v>
      </c>
      <c r="AX7" s="9"/>
      <c r="AY7" s="9" t="s">
        <v>67</v>
      </c>
      <c r="AZ7" s="8"/>
    </row>
    <row r="8" spans="1:52" x14ac:dyDescent="0.2">
      <c r="A8" s="13">
        <v>6</v>
      </c>
      <c r="B8" s="9">
        <v>38.271394036710198</v>
      </c>
      <c r="C8" s="9">
        <f>-28.4660009667277</f>
        <v>-28.466000966727702</v>
      </c>
      <c r="D8" s="10">
        <v>42155</v>
      </c>
      <c r="E8" s="18" t="s">
        <v>79</v>
      </c>
      <c r="F8" s="18" t="s">
        <v>70</v>
      </c>
      <c r="G8" s="18" t="s">
        <v>80</v>
      </c>
      <c r="H8" s="11">
        <v>0.68174768518518514</v>
      </c>
      <c r="I8" s="11">
        <v>0.68893518518518526</v>
      </c>
      <c r="J8" s="11">
        <f t="shared" ref="J8:J11" si="0">I8-H8</f>
        <v>7.1875000000001243E-3</v>
      </c>
      <c r="K8" s="9" t="s">
        <v>13</v>
      </c>
      <c r="L8" s="9" t="s">
        <v>14</v>
      </c>
      <c r="M8" s="9" t="s">
        <v>16</v>
      </c>
      <c r="N8" s="9"/>
      <c r="O8" s="9"/>
      <c r="P8" s="9"/>
      <c r="Q8" s="9"/>
      <c r="R8" s="9"/>
      <c r="S8" s="9">
        <v>1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>
        <v>5</v>
      </c>
      <c r="AF8" s="9">
        <v>5</v>
      </c>
      <c r="AG8" s="9"/>
      <c r="AH8" s="9"/>
      <c r="AI8" s="9"/>
      <c r="AJ8" s="9"/>
      <c r="AK8" s="9"/>
      <c r="AL8" s="9"/>
      <c r="AM8" s="9">
        <v>1</v>
      </c>
      <c r="AN8" s="9"/>
      <c r="AO8" s="9"/>
      <c r="AP8" s="9"/>
      <c r="AQ8" s="9">
        <v>1</v>
      </c>
      <c r="AR8" s="9"/>
      <c r="AS8" s="9"/>
      <c r="AT8" s="9"/>
      <c r="AU8" s="9"/>
      <c r="AV8" s="9">
        <v>2</v>
      </c>
      <c r="AW8" s="9" t="s">
        <v>53</v>
      </c>
      <c r="AX8" s="9"/>
      <c r="AY8" s="9" t="s">
        <v>67</v>
      </c>
      <c r="AZ8" s="8"/>
    </row>
    <row r="9" spans="1:52" x14ac:dyDescent="0.2">
      <c r="A9" s="13">
        <v>7</v>
      </c>
      <c r="B9" s="9">
        <v>38.392681013792703</v>
      </c>
      <c r="C9" s="9">
        <f>-28.4533710312098</f>
        <v>-28.453371031209802</v>
      </c>
      <c r="D9" s="10">
        <v>42210</v>
      </c>
      <c r="E9" s="18" t="s">
        <v>81</v>
      </c>
      <c r="F9" s="18" t="s">
        <v>77</v>
      </c>
      <c r="G9" s="18" t="s">
        <v>80</v>
      </c>
      <c r="H9" s="11">
        <v>0.69379629629629624</v>
      </c>
      <c r="I9" s="11"/>
      <c r="J9" s="11">
        <v>6.9444444444444447E-4</v>
      </c>
      <c r="K9" s="9" t="s">
        <v>17</v>
      </c>
      <c r="L9" s="9" t="s">
        <v>18</v>
      </c>
      <c r="M9" s="9" t="s">
        <v>18</v>
      </c>
      <c r="N9" s="9"/>
      <c r="O9" s="9"/>
      <c r="P9" s="9"/>
      <c r="Q9" s="9"/>
      <c r="R9" s="9"/>
      <c r="S9" s="9">
        <v>1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>
        <v>1</v>
      </c>
      <c r="AF9" s="9">
        <v>1</v>
      </c>
      <c r="AG9" s="9"/>
      <c r="AH9" s="9"/>
      <c r="AI9" s="9"/>
      <c r="AJ9" s="9"/>
      <c r="AK9" s="9"/>
      <c r="AL9" s="9">
        <v>1</v>
      </c>
      <c r="AM9" s="9"/>
      <c r="AN9" s="9"/>
      <c r="AO9" s="9"/>
      <c r="AP9" s="9"/>
      <c r="AQ9" s="9">
        <v>1</v>
      </c>
      <c r="AR9" s="9"/>
      <c r="AS9" s="9"/>
      <c r="AT9" s="9"/>
      <c r="AU9" s="9"/>
      <c r="AV9" s="9">
        <v>1</v>
      </c>
      <c r="AW9" s="9" t="s">
        <v>53</v>
      </c>
      <c r="AX9" s="9"/>
      <c r="AY9" s="9" t="s">
        <v>67</v>
      </c>
      <c r="AZ9" s="8"/>
    </row>
    <row r="10" spans="1:52" x14ac:dyDescent="0.2">
      <c r="A10" s="13">
        <v>8</v>
      </c>
      <c r="B10" s="9">
        <v>38.361828988417898</v>
      </c>
      <c r="C10" s="9">
        <f>-28.3670169766992</f>
        <v>-28.367016976699201</v>
      </c>
      <c r="D10" s="10">
        <v>42467</v>
      </c>
      <c r="E10" s="18" t="s">
        <v>77</v>
      </c>
      <c r="F10" s="18" t="s">
        <v>73</v>
      </c>
      <c r="G10" s="18" t="s">
        <v>82</v>
      </c>
      <c r="H10" s="11">
        <v>0.77236111111111105</v>
      </c>
      <c r="I10" s="11"/>
      <c r="J10" s="11">
        <v>6.9444444444444447E-4</v>
      </c>
      <c r="K10" s="9" t="s">
        <v>19</v>
      </c>
      <c r="L10" s="9" t="s">
        <v>20</v>
      </c>
      <c r="M10" s="9" t="s">
        <v>20</v>
      </c>
      <c r="N10" s="9"/>
      <c r="O10" s="9">
        <v>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>
        <v>2</v>
      </c>
      <c r="AF10" s="9">
        <v>2</v>
      </c>
      <c r="AG10" s="9"/>
      <c r="AH10" s="9"/>
      <c r="AI10" s="9"/>
      <c r="AJ10" s="9"/>
      <c r="AK10" s="9"/>
      <c r="AL10" s="9">
        <v>1</v>
      </c>
      <c r="AM10" s="9"/>
      <c r="AN10" s="9"/>
      <c r="AO10" s="9"/>
      <c r="AP10" s="9">
        <v>1</v>
      </c>
      <c r="AQ10" s="9"/>
      <c r="AR10" s="9"/>
      <c r="AS10" s="9"/>
      <c r="AT10" s="9"/>
      <c r="AU10" s="9"/>
      <c r="AV10" s="9">
        <v>1</v>
      </c>
      <c r="AW10" s="9" t="s">
        <v>53</v>
      </c>
      <c r="AX10" s="9"/>
      <c r="AY10" s="9" t="s">
        <v>67</v>
      </c>
      <c r="AZ10" s="8"/>
    </row>
    <row r="11" spans="1:52" x14ac:dyDescent="0.2">
      <c r="A11" s="13">
        <v>9</v>
      </c>
      <c r="B11" s="9">
        <v>38.363044029101701</v>
      </c>
      <c r="C11" s="9">
        <f>-28.2816170342266</f>
        <v>-28.281617034226599</v>
      </c>
      <c r="D11" s="10">
        <v>42536</v>
      </c>
      <c r="E11" s="18" t="s">
        <v>83</v>
      </c>
      <c r="F11" s="18" t="s">
        <v>69</v>
      </c>
      <c r="G11" s="18" t="s">
        <v>82</v>
      </c>
      <c r="H11" s="11">
        <v>0.42592592592592587</v>
      </c>
      <c r="I11" s="11">
        <v>0.43037037037037035</v>
      </c>
      <c r="J11" s="11">
        <f t="shared" si="0"/>
        <v>4.4444444444444731E-3</v>
      </c>
      <c r="K11" s="9" t="s">
        <v>21</v>
      </c>
      <c r="L11" s="9" t="s">
        <v>22</v>
      </c>
      <c r="M11" s="9" t="s">
        <v>20</v>
      </c>
      <c r="N11" s="9"/>
      <c r="O11" s="9">
        <v>1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>
        <v>2</v>
      </c>
      <c r="AF11" s="9">
        <v>2</v>
      </c>
      <c r="AG11" s="9"/>
      <c r="AH11" s="9"/>
      <c r="AI11" s="9"/>
      <c r="AJ11" s="9"/>
      <c r="AK11" s="9"/>
      <c r="AL11" s="9">
        <v>1</v>
      </c>
      <c r="AM11" s="9"/>
      <c r="AN11" s="9"/>
      <c r="AO11" s="9"/>
      <c r="AP11" s="9">
        <v>1</v>
      </c>
      <c r="AQ11" s="9"/>
      <c r="AR11" s="9"/>
      <c r="AS11" s="9"/>
      <c r="AT11" s="9"/>
      <c r="AU11" s="9"/>
      <c r="AV11" s="9">
        <v>1</v>
      </c>
      <c r="AW11" s="9" t="s">
        <v>53</v>
      </c>
      <c r="AX11" s="9"/>
      <c r="AY11" s="9" t="s">
        <v>67</v>
      </c>
      <c r="AZ11" s="8"/>
    </row>
    <row r="12" spans="1:52" ht="17" thickBot="1" x14ac:dyDescent="0.25">
      <c r="A12" s="13">
        <v>10</v>
      </c>
      <c r="B12" s="14">
        <v>38.301644995808601</v>
      </c>
      <c r="C12" s="14">
        <f>-28.2240920327603</f>
        <v>-28.2240920327603</v>
      </c>
      <c r="D12" s="15">
        <v>42564</v>
      </c>
      <c r="E12" s="19" t="s">
        <v>84</v>
      </c>
      <c r="F12" s="19" t="s">
        <v>77</v>
      </c>
      <c r="G12" s="19" t="s">
        <v>82</v>
      </c>
      <c r="H12" s="16">
        <v>0.6893055555555555</v>
      </c>
      <c r="I12" s="16"/>
      <c r="J12" s="16">
        <v>6.9444444444444447E-4</v>
      </c>
      <c r="K12" s="14" t="s">
        <v>24</v>
      </c>
      <c r="L12" s="14" t="s">
        <v>25</v>
      </c>
      <c r="M12" s="14" t="s">
        <v>25</v>
      </c>
      <c r="N12" s="14"/>
      <c r="O12" s="14">
        <v>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>
        <v>1</v>
      </c>
      <c r="AD12" s="14"/>
      <c r="AE12" s="14">
        <v>10</v>
      </c>
      <c r="AF12" s="14">
        <v>7</v>
      </c>
      <c r="AG12" s="14"/>
      <c r="AH12" s="14">
        <v>3</v>
      </c>
      <c r="AI12" s="14"/>
      <c r="AJ12" s="14"/>
      <c r="AK12" s="14"/>
      <c r="AL12" s="14">
        <v>1</v>
      </c>
      <c r="AM12" s="14"/>
      <c r="AN12" s="14"/>
      <c r="AO12" s="14">
        <v>1</v>
      </c>
      <c r="AP12" s="14"/>
      <c r="AQ12" s="14"/>
      <c r="AR12" s="14"/>
      <c r="AS12" s="14"/>
      <c r="AT12" s="14"/>
      <c r="AU12" s="14"/>
      <c r="AV12" s="14">
        <v>2</v>
      </c>
      <c r="AW12" s="14" t="s">
        <v>53</v>
      </c>
      <c r="AX12" s="14"/>
      <c r="AY12" s="14" t="s">
        <v>67</v>
      </c>
      <c r="AZ12" s="17"/>
    </row>
  </sheetData>
  <mergeCells count="4">
    <mergeCell ref="N1:AD1"/>
    <mergeCell ref="AE1:AJ1"/>
    <mergeCell ref="AK1:AN1"/>
    <mergeCell ref="AO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ALL</vt:lpstr>
      <vt:lpstr>Análise</vt:lpstr>
      <vt:lpstr>Posições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Santos</dc:creator>
  <cp:lastModifiedBy>Rui Santos</cp:lastModifiedBy>
  <dcterms:created xsi:type="dcterms:W3CDTF">2019-07-29T20:03:12Z</dcterms:created>
  <dcterms:modified xsi:type="dcterms:W3CDTF">2023-12-19T12:06:28Z</dcterms:modified>
</cp:coreProperties>
</file>