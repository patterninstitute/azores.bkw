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azores.breeding-main/data-raw/"/>
    </mc:Choice>
  </mc:AlternateContent>
  <xr:revisionPtr revIDLastSave="0" documentId="13_ncr:1_{16EF7C84-D919-8643-8046-71A2A8A8ECC2}" xr6:coauthVersionLast="47" xr6:coauthVersionMax="47" xr10:uidLastSave="{00000000-0000-0000-0000-000000000000}"/>
  <bookViews>
    <workbookView xWindow="280" yWindow="760" windowWidth="28100" windowHeight="12240" activeTab="3" xr2:uid="{E2E09B2A-5EC7-8D4E-A695-A279FA2B643F}"/>
  </bookViews>
  <sheets>
    <sheet name="ALL" sheetId="1" r:id="rId1"/>
    <sheet name="Análise" sheetId="3" r:id="rId2"/>
    <sheet name="Posições" sheetId="4" r:id="rId3"/>
    <sheet name="Data" sheetId="5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4" i="5" l="1"/>
  <c r="C34" i="5"/>
  <c r="J33" i="5"/>
  <c r="C33" i="5"/>
  <c r="J32" i="5"/>
  <c r="C32" i="5"/>
  <c r="J31" i="5"/>
  <c r="C31" i="5"/>
  <c r="J30" i="5"/>
  <c r="C30" i="5"/>
  <c r="J29" i="5"/>
  <c r="C29" i="5"/>
  <c r="C28" i="5"/>
  <c r="J27" i="5"/>
  <c r="C27" i="5"/>
  <c r="J26" i="5"/>
  <c r="C26" i="5"/>
  <c r="J25" i="5"/>
  <c r="C25" i="5"/>
  <c r="C24" i="5"/>
  <c r="J23" i="5"/>
  <c r="C23" i="5"/>
  <c r="C22" i="5"/>
  <c r="J21" i="5"/>
  <c r="C21" i="5"/>
  <c r="J20" i="5"/>
  <c r="C20" i="5"/>
  <c r="C19" i="5"/>
  <c r="J18" i="5"/>
  <c r="C18" i="5"/>
  <c r="C17" i="5"/>
  <c r="C16" i="5"/>
  <c r="J15" i="5"/>
  <c r="C15" i="5"/>
  <c r="C14" i="5"/>
  <c r="J13" i="5"/>
  <c r="C13" i="5"/>
  <c r="J12" i="5"/>
  <c r="C12" i="5"/>
  <c r="C11" i="5"/>
  <c r="J10" i="5"/>
  <c r="C10" i="5"/>
  <c r="J9" i="5"/>
  <c r="C9" i="5"/>
  <c r="J8" i="5"/>
  <c r="C8" i="5"/>
  <c r="J7" i="5"/>
  <c r="C7" i="5"/>
  <c r="C6" i="5"/>
  <c r="J5" i="5"/>
  <c r="C5" i="5"/>
  <c r="C4" i="5"/>
  <c r="C3" i="5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5" i="3" l="1"/>
  <c r="G7" i="3"/>
  <c r="G8" i="3"/>
  <c r="G9" i="3"/>
  <c r="G10" i="3"/>
  <c r="G12" i="3"/>
  <c r="G13" i="3"/>
  <c r="G15" i="3"/>
  <c r="G18" i="3"/>
  <c r="G20" i="3"/>
  <c r="G21" i="3"/>
  <c r="G23" i="3"/>
  <c r="G25" i="3"/>
  <c r="G26" i="3"/>
  <c r="G27" i="3"/>
  <c r="G29" i="3"/>
  <c r="G30" i="3"/>
  <c r="G31" i="3"/>
  <c r="G32" i="3"/>
  <c r="G33" i="3"/>
  <c r="G34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55" i="1" l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<sst xmlns="http://schemas.openxmlformats.org/spreadsheetml/2006/main" count="663" uniqueCount="165">
  <si>
    <t>lat</t>
  </si>
  <si>
    <t>lon</t>
  </si>
  <si>
    <t>name</t>
  </si>
  <si>
    <t>HA_20120715.01</t>
  </si>
  <si>
    <t>HA TS H 5 E 1</t>
  </si>
  <si>
    <t>HA_20120719.01</t>
  </si>
  <si>
    <t>HA TS H 4 I 2</t>
  </si>
  <si>
    <t>HA_20120721.01B</t>
  </si>
  <si>
    <t>HA</t>
  </si>
  <si>
    <t>HA_20120721.01E</t>
  </si>
  <si>
    <t>HA TS SO 5 E 1</t>
  </si>
  <si>
    <t>HA_20120726.01</t>
  </si>
  <si>
    <t>HA TS H 3 E 4</t>
  </si>
  <si>
    <t>HA_20140714.01B</t>
  </si>
  <si>
    <t>HA_20140714.01E</t>
  </si>
  <si>
    <t>HA TS FO 5 I 2</t>
  </si>
  <si>
    <t>HA_20150713.01B</t>
  </si>
  <si>
    <t>HA_20150713.01E</t>
  </si>
  <si>
    <t>HA TS H 2 I 1 1</t>
  </si>
  <si>
    <t>HA_20150715.01B</t>
  </si>
  <si>
    <t>HA_20150715.01E</t>
  </si>
  <si>
    <t>HA TS H 5 I 2 1</t>
  </si>
  <si>
    <t>HA_20150715.02B</t>
  </si>
  <si>
    <t>HA_20150715.02E</t>
  </si>
  <si>
    <t>HA TA H 6 I 2 1</t>
  </si>
  <si>
    <t>HA_20150717.01</t>
  </si>
  <si>
    <t>HA TF H 3 I 3 3</t>
  </si>
  <si>
    <t>HA_20150803.01B</t>
  </si>
  <si>
    <t>HA_20150803.01E</t>
  </si>
  <si>
    <t>HA TA H 5 I 1 2</t>
  </si>
  <si>
    <t>HA_20150804.01B</t>
  </si>
  <si>
    <t>HA_20150804.01E</t>
  </si>
  <si>
    <t>HA M 2 E 2 1</t>
  </si>
  <si>
    <t>HA_20150913.01</t>
  </si>
  <si>
    <t>HA NI 5 I 1 1</t>
  </si>
  <si>
    <t>HA_20150929.01B</t>
  </si>
  <si>
    <t>HA_20150929.01E</t>
  </si>
  <si>
    <t>HA TF BR 4  2 E 2 2</t>
  </si>
  <si>
    <t>HA_20151006.01</t>
  </si>
  <si>
    <t>HA NI 6 I 1 1</t>
  </si>
  <si>
    <t>HA_20151006.02</t>
  </si>
  <si>
    <t>HA 8 I 1 1 NI</t>
  </si>
  <si>
    <t>HA_20160712.01B</t>
  </si>
  <si>
    <t>HA_20160712.01E</t>
  </si>
  <si>
    <t>HA TA SO 8 I 1 4</t>
  </si>
  <si>
    <t>HA_20160714.01</t>
  </si>
  <si>
    <t>HA NI 8 I 1 4</t>
  </si>
  <si>
    <t>HA_20160722.01B</t>
  </si>
  <si>
    <t>HA_20160722.01E</t>
  </si>
  <si>
    <t>HA M SO H SP 8 I 1 2</t>
  </si>
  <si>
    <t>HA_20160722.02B</t>
  </si>
  <si>
    <t>HA_20160722.02E</t>
  </si>
  <si>
    <t>HA M H 7 E 1 3</t>
  </si>
  <si>
    <t>HA_20160725.01</t>
  </si>
  <si>
    <t>HA M H 5 I 2 1</t>
  </si>
  <si>
    <t>HA_20160725.02B</t>
  </si>
  <si>
    <t>HA_20160725.02E</t>
  </si>
  <si>
    <t>HA TA H 7 I 1 2</t>
  </si>
  <si>
    <t>HA_20160728.01</t>
  </si>
  <si>
    <t>HA TA H 6 I 3 3</t>
  </si>
  <si>
    <t>HA_20160728.02B</t>
  </si>
  <si>
    <t>HA_20160728.02E</t>
  </si>
  <si>
    <t>HA M SP H 8 1 I 2 3</t>
  </si>
  <si>
    <t>HA_20160729.01B</t>
  </si>
  <si>
    <t>HA_20160729.01E</t>
  </si>
  <si>
    <t>HA M H 3 E 1 2</t>
  </si>
  <si>
    <t>HA_20160731.01B</t>
  </si>
  <si>
    <t>HA_20160731.01E</t>
  </si>
  <si>
    <t>HA M H 12 A 0 1</t>
  </si>
  <si>
    <t>HA_20160731.02</t>
  </si>
  <si>
    <t>HA M R 12 I 1 1</t>
  </si>
  <si>
    <t>HA_20160801.01B</t>
  </si>
  <si>
    <t>HA_20160801.01E</t>
  </si>
  <si>
    <t>HA TF H M 4 I 1 1</t>
  </si>
  <si>
    <t>HA_20160802.01B</t>
  </si>
  <si>
    <t>HA_20160802.01E</t>
  </si>
  <si>
    <t>HA TF H 5 I 2 1</t>
  </si>
  <si>
    <t>HA_20160823.01B</t>
  </si>
  <si>
    <t>HA_20160823.01E</t>
  </si>
  <si>
    <t>HA NI 2 I 1 1</t>
  </si>
  <si>
    <t>HA_20170723.01B</t>
  </si>
  <si>
    <t>HA_20170723.01E</t>
  </si>
  <si>
    <t>HA FO H M 10 3 I 2 1</t>
  </si>
  <si>
    <t>HA_20180724.01B</t>
  </si>
  <si>
    <t>HA_20180724.01E</t>
  </si>
  <si>
    <t>HA TF H 4 E 1 1</t>
  </si>
  <si>
    <t>HA_20180724.02B</t>
  </si>
  <si>
    <t>HA_20180724.02E</t>
  </si>
  <si>
    <t>HA M 5 E 1 2</t>
  </si>
  <si>
    <t>Sighting</t>
  </si>
  <si>
    <t>Date</t>
  </si>
  <si>
    <t>Time</t>
  </si>
  <si>
    <t>Behaviour</t>
  </si>
  <si>
    <t>Behavior</t>
  </si>
  <si>
    <t>Group Compositon</t>
  </si>
  <si>
    <t>Boat Presence</t>
  </si>
  <si>
    <t>Beaufort</t>
  </si>
  <si>
    <t>FO</t>
  </si>
  <si>
    <t>M</t>
  </si>
  <si>
    <t>R</t>
  </si>
  <si>
    <t>TF</t>
  </si>
  <si>
    <t>TA</t>
  </si>
  <si>
    <t>TS</t>
  </si>
  <si>
    <t>SO</t>
  </si>
  <si>
    <t>BR</t>
  </si>
  <si>
    <t xml:space="preserve">LB 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</si>
  <si>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</si>
  <si>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</si>
  <si>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</si>
  <si>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</si>
  <si>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</si>
  <si>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</si>
  <si>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</si>
  <si>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</si>
  <si>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</si>
  <si>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</si>
  <si>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</si>
  <si>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</si>
  <si>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</si>
  <si>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</si>
  <si>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</si>
  <si>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</si>
  <si>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</si>
  <si>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</si>
  <si>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</si>
  <si>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</si>
  <si>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</si>
  <si>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Time i</t>
  </si>
  <si>
    <t>Time f</t>
  </si>
  <si>
    <t>Time stayed</t>
  </si>
  <si>
    <t>NO</t>
  </si>
  <si>
    <t>15</t>
  </si>
  <si>
    <t>07</t>
  </si>
  <si>
    <t>2012</t>
  </si>
  <si>
    <t>19</t>
  </si>
  <si>
    <t>21</t>
  </si>
  <si>
    <t>26</t>
  </si>
  <si>
    <t>14</t>
  </si>
  <si>
    <t>2014</t>
  </si>
  <si>
    <t>13</t>
  </si>
  <si>
    <t>2015</t>
  </si>
  <si>
    <t>17</t>
  </si>
  <si>
    <t>03</t>
  </si>
  <si>
    <t>08</t>
  </si>
  <si>
    <t>04</t>
  </si>
  <si>
    <t>09</t>
  </si>
  <si>
    <t>29</t>
  </si>
  <si>
    <t>06</t>
  </si>
  <si>
    <t>10</t>
  </si>
  <si>
    <t>12</t>
  </si>
  <si>
    <t>2016</t>
  </si>
  <si>
    <t>22</t>
  </si>
  <si>
    <t>25</t>
  </si>
  <si>
    <t>28</t>
  </si>
  <si>
    <t>31</t>
  </si>
  <si>
    <t>01</t>
  </si>
  <si>
    <t>02</t>
  </si>
  <si>
    <t>23</t>
  </si>
  <si>
    <t>2017</t>
  </si>
  <si>
    <t>24</t>
  </si>
  <si>
    <t>2018</t>
  </si>
  <si>
    <t>Day</t>
  </si>
  <si>
    <t>Month</t>
  </si>
  <si>
    <t>Year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</si>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</sst>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21" fontId="0" fillId="0" borderId="4" xfId="0" applyNumberFormat="1" applyBorder="1"/>
    <xf numFmtId="0" fontId="0" fillId="0" borderId="5" xfId="0" applyBorder="1"/>
    <xf numFmtId="49" fontId="0" fillId="0" borderId="1" xfId="0" applyNumberFormat="1" applyBorder="1"/>
    <xf numFmtId="49" fontId="0" fillId="0" borderId="4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b/Bb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Mn/Mn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m/Bm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>
        <row r="2">
          <cell r="N2" t="str">
            <v>FO</v>
          </cell>
          <cell r="O2" t="str">
            <v>M</v>
          </cell>
          <cell r="P2" t="str">
            <v>R</v>
          </cell>
          <cell r="Q2" t="str">
            <v>TF</v>
          </cell>
          <cell r="R2" t="str">
            <v>TA</v>
          </cell>
          <cell r="S2" t="str">
            <v>TS</v>
          </cell>
          <cell r="T2" t="str">
            <v>SO</v>
          </cell>
          <cell r="U2" t="str">
            <v>BR</v>
          </cell>
          <cell r="V2" t="str">
            <v xml:space="preserve">LB </v>
          </cell>
          <cell r="W2" t="str">
            <v>FL</v>
          </cell>
          <cell r="X2" t="str">
            <v>SP</v>
          </cell>
          <cell r="Y2" t="str">
            <v>OT</v>
          </cell>
          <cell r="Z2" t="str">
            <v>BS</v>
          </cell>
          <cell r="AA2" t="str">
            <v>BF</v>
          </cell>
          <cell r="AB2" t="str">
            <v>BB</v>
          </cell>
          <cell r="AC2" t="str">
            <v>H</v>
          </cell>
          <cell r="AD2" t="str">
            <v>NI</v>
          </cell>
          <cell r="AE2" t="str">
            <v>Max</v>
          </cell>
          <cell r="AF2" t="str">
            <v>Ad</v>
          </cell>
          <cell r="AG2" t="str">
            <v>J</v>
          </cell>
          <cell r="AH2" t="str">
            <v>C</v>
          </cell>
          <cell r="AI2" t="str">
            <v>NB</v>
          </cell>
          <cell r="AJ2" t="str">
            <v>NI</v>
          </cell>
          <cell r="AK2" t="str">
            <v>A</v>
          </cell>
          <cell r="AL2" t="str">
            <v>I</v>
          </cell>
          <cell r="AM2" t="str">
            <v>E</v>
          </cell>
          <cell r="AN2" t="str">
            <v>Ni</v>
          </cell>
          <cell r="AO2">
            <v>0</v>
          </cell>
          <cell r="AP2">
            <v>1</v>
          </cell>
          <cell r="AQ2">
            <v>2</v>
          </cell>
          <cell r="AR2">
            <v>3</v>
          </cell>
          <cell r="AS2">
            <v>4</v>
          </cell>
          <cell r="AT2">
            <v>5</v>
          </cell>
          <cell r="AU2" t="str">
            <v>NI</v>
          </cell>
        </row>
        <row r="118">
          <cell r="A118">
            <v>2012</v>
          </cell>
        </row>
        <row r="119">
          <cell r="A119">
            <v>2013</v>
          </cell>
        </row>
        <row r="120">
          <cell r="A120">
            <v>2014</v>
          </cell>
        </row>
        <row r="121">
          <cell r="A121">
            <v>2015</v>
          </cell>
        </row>
        <row r="122">
          <cell r="A122">
            <v>2016</v>
          </cell>
        </row>
        <row r="123">
          <cell r="A123">
            <v>2017</v>
          </cell>
        </row>
        <row r="124">
          <cell r="A124">
            <v>2018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  <sheetName val="R_DATA"/>
    </sheetNames>
    <sheetDataSet>
      <sheetData sheetId="0"/>
      <sheetData sheetId="1"/>
      <sheetData sheetId="2"/>
      <sheetData sheetId="3">
        <row r="98">
          <cell r="A98" t="str">
            <v>March</v>
          </cell>
        </row>
        <row r="99">
          <cell r="A99" t="str">
            <v>April</v>
          </cell>
        </row>
        <row r="100">
          <cell r="A100" t="str">
            <v>May</v>
          </cell>
        </row>
        <row r="101">
          <cell r="A101" t="str">
            <v>June</v>
          </cell>
        </row>
        <row r="102">
          <cell r="A102" t="str">
            <v>July</v>
          </cell>
        </row>
        <row r="103">
          <cell r="A103" t="str">
            <v>August</v>
          </cell>
        </row>
        <row r="104">
          <cell r="A104" t="str">
            <v>September</v>
          </cell>
        </row>
        <row r="105">
          <cell r="A105" t="str">
            <v>October</v>
          </cell>
        </row>
        <row r="106">
          <cell r="A106" t="str">
            <v>November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/>
      <sheetData sheetId="2"/>
      <sheetData sheetId="3">
        <row r="2">
          <cell r="N2" t="str">
            <v>FO</v>
          </cell>
        </row>
        <row r="247">
          <cell r="E247" t="str">
            <v>March</v>
          </cell>
        </row>
        <row r="248">
          <cell r="E248" t="str">
            <v>April</v>
          </cell>
        </row>
        <row r="249">
          <cell r="E249" t="str">
            <v>May</v>
          </cell>
        </row>
        <row r="250">
          <cell r="E250" t="str">
            <v>June</v>
          </cell>
        </row>
        <row r="251">
          <cell r="E251" t="str">
            <v>July</v>
          </cell>
        </row>
        <row r="252">
          <cell r="E252" t="str">
            <v>August</v>
          </cell>
        </row>
        <row r="253">
          <cell r="E253" t="str">
            <v>September</v>
          </cell>
        </row>
        <row r="254">
          <cell r="E254" t="str">
            <v>October</v>
          </cell>
        </row>
        <row r="255">
          <cell r="E255" t="str">
            <v>November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1652-1D9D-E446-9CDB-203BC5D5C734}">
  <dimension ref="A2:G55"/>
  <sheetViews>
    <sheetView topLeftCell="A10" workbookViewId="0">
      <selection sqref="A1:XFD1"/>
    </sheetView>
  </sheetViews>
  <sheetFormatPr baseColWidth="10" defaultRowHeight="16" x14ac:dyDescent="0.2"/>
  <cols>
    <col min="6" max="6" width="16.33203125" bestFit="1" customWidth="1"/>
    <col min="7" max="7" width="18.33203125" bestFit="1" customWidth="1"/>
  </cols>
  <sheetData>
    <row r="2" spans="1:7" x14ac:dyDescent="0.2">
      <c r="A2" t="s">
        <v>89</v>
      </c>
      <c r="B2" t="s">
        <v>0</v>
      </c>
      <c r="C2" t="s">
        <v>1</v>
      </c>
      <c r="D2" t="s">
        <v>90</v>
      </c>
      <c r="E2" t="s">
        <v>91</v>
      </c>
      <c r="F2" t="s">
        <v>2</v>
      </c>
      <c r="G2" t="s">
        <v>92</v>
      </c>
    </row>
    <row r="3" spans="1:7" x14ac:dyDescent="0.2">
      <c r="A3">
        <v>1</v>
      </c>
      <c r="B3">
        <v>38.287288974970501</v>
      </c>
      <c r="C3">
        <f>-28.266834039241</f>
        <v>-28.266834039241001</v>
      </c>
      <c r="D3" s="1">
        <v>41105</v>
      </c>
      <c r="E3" s="2">
        <v>0.43751157407407404</v>
      </c>
      <c r="F3" t="s">
        <v>3</v>
      </c>
      <c r="G3" t="s">
        <v>4</v>
      </c>
    </row>
    <row r="4" spans="1:7" x14ac:dyDescent="0.2">
      <c r="A4">
        <v>2</v>
      </c>
      <c r="B4">
        <v>38.351341970264897</v>
      </c>
      <c r="C4">
        <f>-28.1220629811286</f>
        <v>-28.1220629811286</v>
      </c>
      <c r="D4" s="1">
        <v>41109</v>
      </c>
      <c r="E4" s="2">
        <v>0.65878472222222217</v>
      </c>
      <c r="F4" t="s">
        <v>5</v>
      </c>
      <c r="G4" t="s">
        <v>6</v>
      </c>
    </row>
    <row r="5" spans="1:7" x14ac:dyDescent="0.2">
      <c r="A5">
        <v>3</v>
      </c>
      <c r="B5">
        <v>38.3250389713793</v>
      </c>
      <c r="C5">
        <f>-28.0875939968973</f>
        <v>-28.087593996897301</v>
      </c>
      <c r="D5" s="1">
        <v>41111</v>
      </c>
      <c r="E5" s="2">
        <v>0.70196759259259256</v>
      </c>
      <c r="F5" t="s">
        <v>7</v>
      </c>
      <c r="G5" t="s">
        <v>8</v>
      </c>
    </row>
    <row r="6" spans="1:7" x14ac:dyDescent="0.2">
      <c r="A6">
        <v>4</v>
      </c>
      <c r="B6">
        <v>38.330513024702597</v>
      </c>
      <c r="C6">
        <f>-28.0733150057494</f>
        <v>-28.0733150057494</v>
      </c>
      <c r="D6" s="1">
        <v>41111</v>
      </c>
      <c r="E6" s="2">
        <v>0.71356481481481471</v>
      </c>
      <c r="F6" t="s">
        <v>9</v>
      </c>
      <c r="G6" t="s">
        <v>10</v>
      </c>
    </row>
    <row r="7" spans="1:7" x14ac:dyDescent="0.2">
      <c r="A7">
        <v>5</v>
      </c>
      <c r="B7">
        <v>38.2529520057141</v>
      </c>
      <c r="C7">
        <f>-28.2271830271929</f>
        <v>-28.227183027192901</v>
      </c>
      <c r="D7" s="1">
        <v>41116</v>
      </c>
      <c r="E7" s="2">
        <v>0.49541666666666667</v>
      </c>
      <c r="F7" t="s">
        <v>11</v>
      </c>
      <c r="G7" t="s">
        <v>12</v>
      </c>
    </row>
    <row r="8" spans="1:7" x14ac:dyDescent="0.2">
      <c r="A8">
        <v>6</v>
      </c>
      <c r="B8">
        <v>38.327221032232003</v>
      </c>
      <c r="C8">
        <f>-28.296507988125</f>
        <v>-28.296507988125001</v>
      </c>
      <c r="D8" s="1">
        <v>41834</v>
      </c>
      <c r="E8" s="2">
        <v>0.44165509259259261</v>
      </c>
      <c r="F8" t="s">
        <v>13</v>
      </c>
      <c r="G8" t="s">
        <v>8</v>
      </c>
    </row>
    <row r="9" spans="1:7" x14ac:dyDescent="0.2">
      <c r="A9">
        <v>7</v>
      </c>
      <c r="B9">
        <v>38.326000040396998</v>
      </c>
      <c r="C9">
        <f>-28.3033679891377</f>
        <v>-28.303367989137701</v>
      </c>
      <c r="D9" s="1">
        <v>41834</v>
      </c>
      <c r="E9" s="2">
        <v>0.44423611111111111</v>
      </c>
      <c r="F9" t="s">
        <v>14</v>
      </c>
      <c r="G9" t="s">
        <v>15</v>
      </c>
    </row>
    <row r="10" spans="1:7" x14ac:dyDescent="0.2">
      <c r="A10">
        <v>8</v>
      </c>
      <c r="B10">
        <v>38.306504990905502</v>
      </c>
      <c r="C10">
        <f>-28.2474699988961</f>
        <v>-28.247469998896101</v>
      </c>
      <c r="D10" s="1">
        <v>42198</v>
      </c>
      <c r="E10" s="2">
        <v>0.44072916666666667</v>
      </c>
      <c r="F10" t="s">
        <v>16</v>
      </c>
      <c r="G10" t="s">
        <v>8</v>
      </c>
    </row>
    <row r="11" spans="1:7" x14ac:dyDescent="0.2">
      <c r="A11">
        <v>9</v>
      </c>
      <c r="B11">
        <v>38.3031249884516</v>
      </c>
      <c r="C11">
        <f>-28.2808479946106</f>
        <v>-28.2808479946106</v>
      </c>
      <c r="D11" s="1">
        <v>42198</v>
      </c>
      <c r="E11" s="2">
        <v>0.45548611111111109</v>
      </c>
      <c r="F11" t="s">
        <v>17</v>
      </c>
      <c r="G11" t="s">
        <v>18</v>
      </c>
    </row>
    <row r="12" spans="1:7" x14ac:dyDescent="0.2">
      <c r="A12">
        <v>10</v>
      </c>
      <c r="B12">
        <v>38.342226985841897</v>
      </c>
      <c r="C12">
        <f>-28.155828975141</f>
        <v>-28.155828975140999</v>
      </c>
      <c r="D12" s="1">
        <v>42200</v>
      </c>
      <c r="E12" s="2">
        <v>0.4803587962962963</v>
      </c>
      <c r="F12" t="s">
        <v>19</v>
      </c>
      <c r="G12" t="s">
        <v>8</v>
      </c>
    </row>
    <row r="13" spans="1:7" x14ac:dyDescent="0.2">
      <c r="A13">
        <v>11</v>
      </c>
      <c r="B13">
        <v>38.342195972800198</v>
      </c>
      <c r="C13">
        <f>-28.1327349878847</f>
        <v>-28.1327349878847</v>
      </c>
      <c r="D13" s="1">
        <v>42200</v>
      </c>
      <c r="E13" s="2">
        <v>0.49723379629629627</v>
      </c>
      <c r="F13" t="s">
        <v>20</v>
      </c>
      <c r="G13" t="s">
        <v>21</v>
      </c>
    </row>
    <row r="14" spans="1:7" x14ac:dyDescent="0.2">
      <c r="A14">
        <v>12</v>
      </c>
      <c r="B14">
        <v>38.344968035817097</v>
      </c>
      <c r="C14">
        <f>-28.2946430146694</f>
        <v>-28.294643014669401</v>
      </c>
      <c r="D14" s="1">
        <v>42200</v>
      </c>
      <c r="E14" s="2">
        <v>0.60612268518518519</v>
      </c>
      <c r="F14" t="s">
        <v>22</v>
      </c>
      <c r="G14" t="s">
        <v>8</v>
      </c>
    </row>
    <row r="15" spans="1:7" x14ac:dyDescent="0.2">
      <c r="A15">
        <v>13</v>
      </c>
      <c r="B15">
        <v>38.340529985725802</v>
      </c>
      <c r="C15">
        <f>-28.3056630380451</f>
        <v>-28.3056630380451</v>
      </c>
      <c r="D15" s="1">
        <v>42200</v>
      </c>
      <c r="E15" s="2">
        <v>0.61108796296296297</v>
      </c>
      <c r="F15" t="s">
        <v>23</v>
      </c>
      <c r="G15" t="s">
        <v>24</v>
      </c>
    </row>
    <row r="16" spans="1:7" x14ac:dyDescent="0.2">
      <c r="A16">
        <v>14</v>
      </c>
      <c r="B16">
        <v>38.234035978093701</v>
      </c>
      <c r="C16">
        <f>-28.3695449586957</f>
        <v>-28.369544958695698</v>
      </c>
      <c r="D16" s="1">
        <v>42202</v>
      </c>
      <c r="E16" s="2">
        <v>0.68976851851851861</v>
      </c>
      <c r="F16" t="s">
        <v>25</v>
      </c>
      <c r="G16" t="s">
        <v>26</v>
      </c>
    </row>
    <row r="17" spans="1:7" x14ac:dyDescent="0.2">
      <c r="A17">
        <v>15</v>
      </c>
      <c r="B17">
        <v>38.3244219794869</v>
      </c>
      <c r="C17">
        <f>-28.1983579974621</f>
        <v>-28.1983579974621</v>
      </c>
      <c r="D17" s="1">
        <v>42219</v>
      </c>
      <c r="E17" s="2">
        <v>0.4924189814814815</v>
      </c>
      <c r="F17" t="s">
        <v>27</v>
      </c>
      <c r="G17" t="s">
        <v>8</v>
      </c>
    </row>
    <row r="18" spans="1:7" x14ac:dyDescent="0.2">
      <c r="A18">
        <v>16</v>
      </c>
      <c r="B18">
        <v>38.321972033008898</v>
      </c>
      <c r="C18">
        <f>-28.1927619874477</f>
        <v>-28.1927619874477</v>
      </c>
      <c r="D18" s="1">
        <v>42219</v>
      </c>
      <c r="E18" s="2">
        <v>0.50666666666666671</v>
      </c>
      <c r="F18" t="s">
        <v>28</v>
      </c>
      <c r="G18" t="s">
        <v>29</v>
      </c>
    </row>
    <row r="19" spans="1:7" x14ac:dyDescent="0.2">
      <c r="A19">
        <v>17</v>
      </c>
      <c r="B19">
        <v>38.353459993377299</v>
      </c>
      <c r="C19">
        <f>-28.1560660153627</f>
        <v>-28.1560660153627</v>
      </c>
      <c r="D19" s="1">
        <v>42220</v>
      </c>
      <c r="E19" s="2">
        <v>0.68396990740740737</v>
      </c>
      <c r="F19" t="s">
        <v>30</v>
      </c>
      <c r="G19" t="s">
        <v>8</v>
      </c>
    </row>
    <row r="20" spans="1:7" x14ac:dyDescent="0.2">
      <c r="A20">
        <v>18</v>
      </c>
      <c r="B20">
        <v>38.359439978376003</v>
      </c>
      <c r="C20">
        <f>-28.1452690344303</f>
        <v>-28.145269034430299</v>
      </c>
      <c r="D20" s="1">
        <v>42220</v>
      </c>
      <c r="E20" s="2">
        <v>0.70209490740740732</v>
      </c>
      <c r="F20" t="s">
        <v>31</v>
      </c>
      <c r="G20" t="s">
        <v>32</v>
      </c>
    </row>
    <row r="21" spans="1:7" x14ac:dyDescent="0.2">
      <c r="A21">
        <v>19</v>
      </c>
      <c r="B21">
        <v>38.361295983195298</v>
      </c>
      <c r="C21">
        <f>-28.3957720175385</f>
        <v>-28.395772017538501</v>
      </c>
      <c r="D21" s="1">
        <v>42260</v>
      </c>
      <c r="E21" s="2">
        <v>0.71265046296296297</v>
      </c>
      <c r="F21" t="s">
        <v>33</v>
      </c>
      <c r="G21" t="s">
        <v>34</v>
      </c>
    </row>
    <row r="22" spans="1:7" x14ac:dyDescent="0.2">
      <c r="A22">
        <v>20</v>
      </c>
      <c r="B22">
        <v>38.3359249681234</v>
      </c>
      <c r="C22">
        <f>-28.2319970056414</f>
        <v>-28.2319970056414</v>
      </c>
      <c r="D22" s="1">
        <v>42276</v>
      </c>
      <c r="E22" s="2">
        <v>0.4427314814814815</v>
      </c>
      <c r="F22" t="s">
        <v>35</v>
      </c>
      <c r="G22" t="s">
        <v>8</v>
      </c>
    </row>
    <row r="23" spans="1:7" x14ac:dyDescent="0.2">
      <c r="A23">
        <v>21</v>
      </c>
      <c r="B23">
        <v>38.335085017606602</v>
      </c>
      <c r="C23">
        <f>-28.2096490077674</f>
        <v>-28.2096490077674</v>
      </c>
      <c r="D23" s="1">
        <v>42276</v>
      </c>
      <c r="E23" s="2">
        <v>0.45121527777777781</v>
      </c>
      <c r="F23" t="s">
        <v>36</v>
      </c>
      <c r="G23" t="s">
        <v>37</v>
      </c>
    </row>
    <row r="24" spans="1:7" x14ac:dyDescent="0.2">
      <c r="A24">
        <v>22</v>
      </c>
      <c r="B24">
        <v>38.2982649933546</v>
      </c>
      <c r="C24">
        <f>-28.366850009188</f>
        <v>-28.366850009187999</v>
      </c>
      <c r="D24" s="1">
        <v>42283</v>
      </c>
      <c r="E24" s="2">
        <v>0.49554398148148149</v>
      </c>
      <c r="F24" t="s">
        <v>38</v>
      </c>
      <c r="G24" t="s">
        <v>39</v>
      </c>
    </row>
    <row r="25" spans="1:7" x14ac:dyDescent="0.2">
      <c r="A25">
        <v>23</v>
      </c>
      <c r="B25">
        <v>38.3263519965112</v>
      </c>
      <c r="C25">
        <f>-28.4677350148558</f>
        <v>-28.467735014855801</v>
      </c>
      <c r="D25" s="1">
        <v>42283</v>
      </c>
      <c r="E25" s="2">
        <v>0.70339120370370367</v>
      </c>
      <c r="F25" t="s">
        <v>40</v>
      </c>
      <c r="G25" t="s">
        <v>41</v>
      </c>
    </row>
    <row r="26" spans="1:7" x14ac:dyDescent="0.2">
      <c r="A26">
        <v>24</v>
      </c>
      <c r="B26">
        <v>38.343783002346697</v>
      </c>
      <c r="C26">
        <f>-28.1856849789619</f>
        <v>-28.185684978961898</v>
      </c>
      <c r="D26" s="1">
        <v>42563</v>
      </c>
      <c r="E26" s="2">
        <v>0.66726851851851843</v>
      </c>
      <c r="F26" t="s">
        <v>42</v>
      </c>
      <c r="G26" t="s">
        <v>8</v>
      </c>
    </row>
    <row r="27" spans="1:7" x14ac:dyDescent="0.2">
      <c r="A27">
        <v>25</v>
      </c>
      <c r="B27">
        <v>38.339690035209003</v>
      </c>
      <c r="C27">
        <f>-28.2056589704006</f>
        <v>-28.205658970400599</v>
      </c>
      <c r="D27" s="1">
        <v>42563</v>
      </c>
      <c r="E27" s="2">
        <v>0.68855324074074076</v>
      </c>
      <c r="F27" t="s">
        <v>43</v>
      </c>
      <c r="G27" t="s">
        <v>44</v>
      </c>
    </row>
    <row r="28" spans="1:7" x14ac:dyDescent="0.2">
      <c r="A28">
        <v>26</v>
      </c>
      <c r="B28">
        <v>38.282967014238203</v>
      </c>
      <c r="C28">
        <f>-28.3136820048093</f>
        <v>-28.313682004809301</v>
      </c>
      <c r="D28" s="1">
        <v>42565</v>
      </c>
      <c r="E28" s="2">
        <v>0.63680555555555551</v>
      </c>
      <c r="F28" t="s">
        <v>45</v>
      </c>
      <c r="G28" t="s">
        <v>46</v>
      </c>
    </row>
    <row r="29" spans="1:7" x14ac:dyDescent="0.2">
      <c r="A29">
        <v>27</v>
      </c>
      <c r="B29">
        <v>38.333887998014603</v>
      </c>
      <c r="C29">
        <f>-28.0603060405701</f>
        <v>-28.060306040570101</v>
      </c>
      <c r="D29" s="1">
        <v>42573</v>
      </c>
      <c r="E29" s="2">
        <v>0.6535185185185185</v>
      </c>
      <c r="F29" t="s">
        <v>47</v>
      </c>
      <c r="G29" t="s">
        <v>8</v>
      </c>
    </row>
    <row r="30" spans="1:7" x14ac:dyDescent="0.2">
      <c r="A30">
        <v>28</v>
      </c>
      <c r="B30">
        <v>38.3199889585375</v>
      </c>
      <c r="C30">
        <f>-28.0459070205688</f>
        <v>-28.045907020568801</v>
      </c>
      <c r="D30" s="1">
        <v>42573</v>
      </c>
      <c r="E30" s="2">
        <v>0.66849537037037043</v>
      </c>
      <c r="F30" t="s">
        <v>48</v>
      </c>
      <c r="G30" t="s">
        <v>49</v>
      </c>
    </row>
    <row r="31" spans="1:7" x14ac:dyDescent="0.2">
      <c r="A31">
        <v>29</v>
      </c>
      <c r="B31">
        <v>38.532039038836899</v>
      </c>
      <c r="C31">
        <f>-28.0053660180419</f>
        <v>-28.005366018041901</v>
      </c>
      <c r="D31" s="1">
        <v>42573</v>
      </c>
      <c r="E31" s="2">
        <v>0.71666666666666667</v>
      </c>
      <c r="F31" t="s">
        <v>50</v>
      </c>
      <c r="G31" t="s">
        <v>8</v>
      </c>
    </row>
    <row r="32" spans="1:7" x14ac:dyDescent="0.2">
      <c r="A32">
        <v>30</v>
      </c>
      <c r="B32">
        <v>38.541101971641098</v>
      </c>
      <c r="C32">
        <f>-28.002734016627</f>
        <v>-28.002734016626999</v>
      </c>
      <c r="D32" s="1">
        <v>42573</v>
      </c>
      <c r="E32" s="2">
        <v>0.72619212962962953</v>
      </c>
      <c r="F32" t="s">
        <v>51</v>
      </c>
      <c r="G32" t="s">
        <v>52</v>
      </c>
    </row>
    <row r="33" spans="1:7" x14ac:dyDescent="0.2">
      <c r="A33">
        <v>31</v>
      </c>
      <c r="B33">
        <v>38.272745031863401</v>
      </c>
      <c r="C33">
        <f>-28.3043690398335</f>
        <v>-28.304369039833499</v>
      </c>
      <c r="D33" s="1">
        <v>42576</v>
      </c>
      <c r="E33" s="2">
        <v>0.49547453703703703</v>
      </c>
      <c r="F33" t="s">
        <v>53</v>
      </c>
      <c r="G33" t="s">
        <v>54</v>
      </c>
    </row>
    <row r="34" spans="1:7" x14ac:dyDescent="0.2">
      <c r="A34">
        <v>32</v>
      </c>
      <c r="B34">
        <v>38.241176018491302</v>
      </c>
      <c r="C34">
        <f>-28.1568639725446</f>
        <v>-28.156863972544599</v>
      </c>
      <c r="D34" s="1">
        <v>42576</v>
      </c>
      <c r="E34" s="2">
        <v>0.68377314814814805</v>
      </c>
      <c r="F34" t="s">
        <v>55</v>
      </c>
      <c r="G34" t="s">
        <v>8</v>
      </c>
    </row>
    <row r="35" spans="1:7" x14ac:dyDescent="0.2">
      <c r="A35">
        <v>33</v>
      </c>
      <c r="B35">
        <v>38.2353400345891</v>
      </c>
      <c r="C35">
        <f>-28.1616409868001</f>
        <v>-28.161640986800101</v>
      </c>
      <c r="D35" s="1">
        <v>42576</v>
      </c>
      <c r="E35" s="2">
        <v>0.68776620370370367</v>
      </c>
      <c r="F35" t="s">
        <v>56</v>
      </c>
      <c r="G35" t="s">
        <v>57</v>
      </c>
    </row>
    <row r="36" spans="1:7" x14ac:dyDescent="0.2">
      <c r="A36">
        <v>34</v>
      </c>
      <c r="B36">
        <v>38.287871014326797</v>
      </c>
      <c r="C36">
        <f>-28.1986439879983</f>
        <v>-28.198643987998299</v>
      </c>
      <c r="D36" s="1">
        <v>42579</v>
      </c>
      <c r="E36" s="2">
        <v>0.43189814814814814</v>
      </c>
      <c r="F36" t="s">
        <v>58</v>
      </c>
      <c r="G36" t="s">
        <v>59</v>
      </c>
    </row>
    <row r="37" spans="1:7" x14ac:dyDescent="0.2">
      <c r="A37">
        <v>35</v>
      </c>
      <c r="B37">
        <v>38.332140035927203</v>
      </c>
      <c r="C37">
        <f>-28.2177249714732</f>
        <v>-28.217724971473199</v>
      </c>
      <c r="D37" s="1">
        <v>42579</v>
      </c>
      <c r="E37" s="2">
        <v>0.70430555555555552</v>
      </c>
      <c r="F37" t="s">
        <v>60</v>
      </c>
      <c r="G37" t="s">
        <v>8</v>
      </c>
    </row>
    <row r="38" spans="1:7" x14ac:dyDescent="0.2">
      <c r="A38">
        <v>36</v>
      </c>
      <c r="B38">
        <v>38.3221059758216</v>
      </c>
      <c r="C38">
        <f>-28.2188720349222</f>
        <v>-28.2188720349222</v>
      </c>
      <c r="D38" s="1">
        <v>42579</v>
      </c>
      <c r="E38" s="2">
        <v>0.7211574074074073</v>
      </c>
      <c r="F38" t="s">
        <v>61</v>
      </c>
      <c r="G38" t="s">
        <v>62</v>
      </c>
    </row>
    <row r="39" spans="1:7" x14ac:dyDescent="0.2">
      <c r="A39">
        <v>37</v>
      </c>
      <c r="B39">
        <v>38.339981976896503</v>
      </c>
      <c r="C39">
        <f>-27.9920169990509</f>
        <v>-27.9920169990509</v>
      </c>
      <c r="D39" s="1">
        <v>42580</v>
      </c>
      <c r="E39" s="2">
        <v>0.48986111111111108</v>
      </c>
      <c r="F39" t="s">
        <v>63</v>
      </c>
      <c r="G39" t="s">
        <v>8</v>
      </c>
    </row>
    <row r="40" spans="1:7" x14ac:dyDescent="0.2">
      <c r="A40">
        <v>38</v>
      </c>
      <c r="B40">
        <v>38.339877035468803</v>
      </c>
      <c r="C40">
        <f>-27.9875969700515</f>
        <v>-27.987596970051499</v>
      </c>
      <c r="D40" s="1">
        <v>42580</v>
      </c>
      <c r="E40" s="2">
        <v>0.4993055555555555</v>
      </c>
      <c r="F40" t="s">
        <v>64</v>
      </c>
      <c r="G40" t="s">
        <v>65</v>
      </c>
    </row>
    <row r="41" spans="1:7" x14ac:dyDescent="0.2">
      <c r="A41">
        <v>39</v>
      </c>
      <c r="B41">
        <v>38.318244013935299</v>
      </c>
      <c r="C41">
        <f>-28.0006380379199</f>
        <v>-28.000638037919899</v>
      </c>
      <c r="D41" s="1">
        <v>42582</v>
      </c>
      <c r="E41" s="2">
        <v>0.46512731481481479</v>
      </c>
      <c r="F41" t="s">
        <v>66</v>
      </c>
      <c r="G41" t="s">
        <v>8</v>
      </c>
    </row>
    <row r="42" spans="1:7" x14ac:dyDescent="0.2">
      <c r="A42">
        <v>40</v>
      </c>
      <c r="B42">
        <v>38.316557994112301</v>
      </c>
      <c r="C42">
        <f>-27.9994059819728</f>
        <v>-27.999405981972799</v>
      </c>
      <c r="D42" s="1">
        <v>42582</v>
      </c>
      <c r="E42" s="2">
        <v>0.47693287037037035</v>
      </c>
      <c r="F42" t="s">
        <v>67</v>
      </c>
      <c r="G42" t="s">
        <v>68</v>
      </c>
    </row>
    <row r="43" spans="1:7" x14ac:dyDescent="0.2">
      <c r="A43">
        <v>41</v>
      </c>
      <c r="B43">
        <v>38.327217008918502</v>
      </c>
      <c r="C43">
        <f>-28.1983569916337</f>
        <v>-28.198356991633698</v>
      </c>
      <c r="D43" s="1">
        <v>42582</v>
      </c>
      <c r="E43" s="2">
        <v>0.74626157407407412</v>
      </c>
      <c r="F43" t="s">
        <v>69</v>
      </c>
      <c r="G43" t="s">
        <v>70</v>
      </c>
    </row>
    <row r="44" spans="1:7" x14ac:dyDescent="0.2">
      <c r="A44">
        <v>42</v>
      </c>
      <c r="B44">
        <v>38.332765996456097</v>
      </c>
      <c r="C44">
        <f>-28.1885039806365</f>
        <v>-28.188503980636501</v>
      </c>
      <c r="D44" s="1">
        <v>42583</v>
      </c>
      <c r="E44" s="2">
        <v>0.62596064814814811</v>
      </c>
      <c r="F44" t="s">
        <v>71</v>
      </c>
      <c r="G44" t="s">
        <v>8</v>
      </c>
    </row>
    <row r="45" spans="1:7" x14ac:dyDescent="0.2">
      <c r="A45">
        <v>43</v>
      </c>
      <c r="B45">
        <v>38.3267349656671</v>
      </c>
      <c r="C45">
        <f>-28.2132770307362</f>
        <v>-28.213277030736201</v>
      </c>
      <c r="D45" s="1">
        <v>42583</v>
      </c>
      <c r="E45" s="2">
        <v>0.64420138888888889</v>
      </c>
      <c r="F45" t="s">
        <v>72</v>
      </c>
      <c r="G45" t="s">
        <v>73</v>
      </c>
    </row>
    <row r="46" spans="1:7" x14ac:dyDescent="0.2">
      <c r="A46">
        <v>44</v>
      </c>
      <c r="B46">
        <v>38.313891962170601</v>
      </c>
      <c r="C46">
        <f>-28.2533459644764</f>
        <v>-28.253345964476399</v>
      </c>
      <c r="D46" s="1">
        <v>42584</v>
      </c>
      <c r="E46" s="2">
        <v>0.42269675925925926</v>
      </c>
      <c r="F46" t="s">
        <v>74</v>
      </c>
      <c r="G46" t="s">
        <v>8</v>
      </c>
    </row>
    <row r="47" spans="1:7" x14ac:dyDescent="0.2">
      <c r="A47">
        <v>45</v>
      </c>
      <c r="B47">
        <v>38.310847990214803</v>
      </c>
      <c r="C47">
        <f>-28.2686899602413</f>
        <v>-28.2686899602413</v>
      </c>
      <c r="D47" s="1">
        <v>42584</v>
      </c>
      <c r="E47" s="2">
        <v>0.42952546296296296</v>
      </c>
      <c r="F47" t="s">
        <v>75</v>
      </c>
      <c r="G47" t="s">
        <v>76</v>
      </c>
    </row>
    <row r="48" spans="1:7" x14ac:dyDescent="0.2">
      <c r="A48">
        <v>46</v>
      </c>
      <c r="B48">
        <v>38.2812069822102</v>
      </c>
      <c r="C48">
        <f>-28.2500210311263</f>
        <v>-28.250021031126298</v>
      </c>
      <c r="D48" s="1">
        <v>42605</v>
      </c>
      <c r="E48" s="2">
        <v>0.63714120370370375</v>
      </c>
      <c r="F48" t="s">
        <v>77</v>
      </c>
      <c r="G48" t="s">
        <v>8</v>
      </c>
    </row>
    <row r="49" spans="1:7" x14ac:dyDescent="0.2">
      <c r="A49">
        <v>47</v>
      </c>
      <c r="B49">
        <v>38.2795109879225</v>
      </c>
      <c r="C49">
        <f>-28.2539699971675</f>
        <v>-28.253969997167498</v>
      </c>
      <c r="D49" s="1">
        <v>42605</v>
      </c>
      <c r="E49" s="2">
        <v>0.64197916666666666</v>
      </c>
      <c r="F49" t="s">
        <v>78</v>
      </c>
      <c r="G49" t="s">
        <v>79</v>
      </c>
    </row>
    <row r="50" spans="1:7" x14ac:dyDescent="0.2">
      <c r="A50">
        <v>48</v>
      </c>
      <c r="B50">
        <v>38.345240028574999</v>
      </c>
      <c r="C50">
        <f>-28.1429559644311</f>
        <v>-28.142955964431099</v>
      </c>
      <c r="D50" s="1">
        <v>42939</v>
      </c>
      <c r="E50" s="2">
        <v>0.40931712962962963</v>
      </c>
      <c r="F50" t="s">
        <v>80</v>
      </c>
      <c r="G50" t="s">
        <v>8</v>
      </c>
    </row>
    <row r="51" spans="1:7" x14ac:dyDescent="0.2">
      <c r="A51">
        <v>49</v>
      </c>
      <c r="B51">
        <v>38.346746005117801</v>
      </c>
      <c r="C51">
        <f>-28.140946989879</f>
        <v>-28.140946989879001</v>
      </c>
      <c r="D51" s="1">
        <v>42939</v>
      </c>
      <c r="E51" s="2">
        <v>0.44202546296296297</v>
      </c>
      <c r="F51" t="s">
        <v>81</v>
      </c>
      <c r="G51" t="s">
        <v>82</v>
      </c>
    </row>
    <row r="52" spans="1:7" x14ac:dyDescent="0.2">
      <c r="A52">
        <v>50</v>
      </c>
      <c r="B52">
        <v>38.34253099747</v>
      </c>
      <c r="C52">
        <f>-28.4273860417306</f>
        <v>-28.4273860417306</v>
      </c>
      <c r="D52" s="1">
        <v>43305</v>
      </c>
      <c r="E52" s="2">
        <v>0.44498842592592597</v>
      </c>
      <c r="F52" t="s">
        <v>83</v>
      </c>
      <c r="G52" t="s">
        <v>8</v>
      </c>
    </row>
    <row r="53" spans="1:7" x14ac:dyDescent="0.2">
      <c r="A53">
        <v>51</v>
      </c>
      <c r="B53">
        <v>38.3362989686429</v>
      </c>
      <c r="C53">
        <f>-28.4216850064694</f>
        <v>-28.421685006469399</v>
      </c>
      <c r="D53" s="1">
        <v>43305</v>
      </c>
      <c r="E53" s="2">
        <v>0.4480555555555556</v>
      </c>
      <c r="F53" t="s">
        <v>84</v>
      </c>
      <c r="G53" t="s">
        <v>85</v>
      </c>
    </row>
    <row r="54" spans="1:7" x14ac:dyDescent="0.2">
      <c r="A54">
        <v>52</v>
      </c>
      <c r="B54">
        <v>38.303021974861601</v>
      </c>
      <c r="C54">
        <f>-28.2025350350886</f>
        <v>-28.202535035088601</v>
      </c>
      <c r="D54" s="1">
        <v>43305</v>
      </c>
      <c r="E54" s="2">
        <v>0.65074074074074073</v>
      </c>
      <c r="F54" t="s">
        <v>86</v>
      </c>
      <c r="G54" t="s">
        <v>8</v>
      </c>
    </row>
    <row r="55" spans="1:7" x14ac:dyDescent="0.2">
      <c r="A55">
        <v>53</v>
      </c>
      <c r="B55">
        <v>38.300383016467002</v>
      </c>
      <c r="C55">
        <f>-28.1967029906809</f>
        <v>-28.196702990680901</v>
      </c>
      <c r="D55" s="1">
        <v>43305</v>
      </c>
      <c r="E55" s="2">
        <v>0.65557870370370364</v>
      </c>
      <c r="F55" t="s">
        <v>87</v>
      </c>
      <c r="G5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BF5A-A957-4442-967D-9B9FA5E9343B}">
  <dimension ref="A1:AW34"/>
  <sheetViews>
    <sheetView zoomScale="123" workbookViewId="0">
      <selection activeCell="C36" sqref="C36"/>
    </sheetView>
  </sheetViews>
  <sheetFormatPr baseColWidth="10" defaultRowHeight="16" x14ac:dyDescent="0.2"/>
  <cols>
    <col min="8" max="8" width="16.33203125" bestFit="1" customWidth="1"/>
    <col min="9" max="10" width="18.33203125" bestFit="1" customWidth="1"/>
    <col min="11" max="11" width="4" bestFit="1" customWidth="1"/>
    <col min="12" max="12" width="3.33203125" bestFit="1" customWidth="1"/>
    <col min="13" max="13" width="3.1640625" bestFit="1" customWidth="1"/>
    <col min="14" max="14" width="4.33203125" bestFit="1" customWidth="1"/>
    <col min="15" max="15" width="4.6640625" bestFit="1" customWidth="1"/>
    <col min="16" max="16" width="4.5" bestFit="1" customWidth="1"/>
    <col min="17" max="18" width="4.83203125" bestFit="1" customWidth="1"/>
    <col min="19" max="19" width="5.33203125" bestFit="1" customWidth="1"/>
    <col min="20" max="20" width="4.33203125" bestFit="1" customWidth="1"/>
    <col min="21" max="24" width="4.6640625" bestFit="1" customWidth="1"/>
    <col min="25" max="25" width="4.83203125" bestFit="1" customWidth="1"/>
    <col min="26" max="26" width="3.1640625" bestFit="1" customWidth="1"/>
    <col min="27" max="27" width="3.83203125" bestFit="1" customWidth="1"/>
    <col min="28" max="28" width="6" bestFit="1" customWidth="1"/>
    <col min="29" max="31" width="4.6640625" bestFit="1" customWidth="1"/>
    <col min="32" max="33" width="7.5" bestFit="1" customWidth="1"/>
    <col min="34" max="34" width="4.6640625" bestFit="1" customWidth="1"/>
    <col min="35" max="35" width="5.83203125" bestFit="1" customWidth="1"/>
    <col min="36" max="38" width="4.6640625" bestFit="1" customWidth="1"/>
    <col min="39" max="41" width="5.83203125" bestFit="1" customWidth="1"/>
    <col min="42" max="44" width="4.6640625" bestFit="1" customWidth="1"/>
    <col min="45" max="45" width="4.83203125" bestFit="1" customWidth="1"/>
    <col min="46" max="46" width="4.6640625" bestFit="1" customWidth="1"/>
    <col min="47" max="49" width="11" bestFit="1" customWidth="1"/>
  </cols>
  <sheetData>
    <row r="1" spans="1:49" ht="18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17" t="s">
        <v>93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 t="s">
        <v>94</v>
      </c>
      <c r="AC1" s="17"/>
      <c r="AD1" s="17"/>
      <c r="AE1" s="17"/>
      <c r="AF1" s="17"/>
      <c r="AG1" s="17"/>
      <c r="AH1" s="17" t="s">
        <v>95</v>
      </c>
      <c r="AI1" s="17"/>
      <c r="AJ1" s="17"/>
      <c r="AK1" s="17"/>
      <c r="AL1" s="17" t="s">
        <v>96</v>
      </c>
      <c r="AM1" s="17"/>
      <c r="AN1" s="17"/>
      <c r="AO1" s="17"/>
      <c r="AP1" s="17"/>
      <c r="AQ1" s="17"/>
      <c r="AR1" s="17"/>
      <c r="AS1" s="7"/>
      <c r="AT1" s="7"/>
      <c r="AU1" s="7"/>
      <c r="AV1" s="7"/>
      <c r="AW1" s="7"/>
    </row>
    <row r="2" spans="1:49" ht="18" x14ac:dyDescent="0.2">
      <c r="A2" s="7" t="s">
        <v>89</v>
      </c>
      <c r="B2" s="7" t="s">
        <v>0</v>
      </c>
      <c r="C2" s="7" t="s">
        <v>1</v>
      </c>
      <c r="D2" s="7" t="s">
        <v>90</v>
      </c>
      <c r="E2" s="7" t="s">
        <v>127</v>
      </c>
      <c r="F2" s="7" t="s">
        <v>128</v>
      </c>
      <c r="G2" s="7" t="s">
        <v>129</v>
      </c>
      <c r="H2" s="7" t="s">
        <v>2</v>
      </c>
      <c r="I2" s="7" t="s">
        <v>92</v>
      </c>
      <c r="J2" s="7"/>
      <c r="K2" s="3" t="s">
        <v>97</v>
      </c>
      <c r="L2" s="4" t="s">
        <v>98</v>
      </c>
      <c r="M2" s="4" t="s">
        <v>99</v>
      </c>
      <c r="N2" s="4" t="s">
        <v>100</v>
      </c>
      <c r="O2" s="4" t="s">
        <v>101</v>
      </c>
      <c r="P2" s="4" t="s">
        <v>102</v>
      </c>
      <c r="Q2" s="4" t="s">
        <v>103</v>
      </c>
      <c r="R2" s="4" t="s">
        <v>104</v>
      </c>
      <c r="S2" s="4" t="s">
        <v>105</v>
      </c>
      <c r="T2" s="4" t="s">
        <v>106</v>
      </c>
      <c r="U2" s="4" t="s">
        <v>107</v>
      </c>
      <c r="V2" s="4" t="s">
        <v>108</v>
      </c>
      <c r="W2" s="4" t="s">
        <v>109</v>
      </c>
      <c r="X2" s="4" t="s">
        <v>110</v>
      </c>
      <c r="Y2" s="4" t="s">
        <v>111</v>
      </c>
      <c r="Z2" s="4" t="s">
        <v>112</v>
      </c>
      <c r="AA2" s="4" t="s">
        <v>113</v>
      </c>
      <c r="AB2" s="4" t="s">
        <v>114</v>
      </c>
      <c r="AC2" s="4" t="s">
        <v>115</v>
      </c>
      <c r="AD2" s="4" t="s">
        <v>116</v>
      </c>
      <c r="AE2" s="4" t="s">
        <v>117</v>
      </c>
      <c r="AF2" s="4" t="s">
        <v>118</v>
      </c>
      <c r="AG2" s="4" t="s">
        <v>113</v>
      </c>
      <c r="AH2" s="4" t="s">
        <v>119</v>
      </c>
      <c r="AI2" s="5" t="s">
        <v>120</v>
      </c>
      <c r="AJ2" s="4" t="s">
        <v>121</v>
      </c>
      <c r="AK2" s="4" t="s">
        <v>122</v>
      </c>
      <c r="AL2" s="4">
        <v>0</v>
      </c>
      <c r="AM2" s="4">
        <v>1</v>
      </c>
      <c r="AN2" s="4">
        <v>2</v>
      </c>
      <c r="AO2" s="4">
        <v>3</v>
      </c>
      <c r="AP2" s="4">
        <v>4</v>
      </c>
      <c r="AQ2" s="4">
        <v>5</v>
      </c>
      <c r="AR2" s="4" t="s">
        <v>113</v>
      </c>
      <c r="AS2" s="4" t="s">
        <v>123</v>
      </c>
      <c r="AT2" s="4" t="s">
        <v>124</v>
      </c>
      <c r="AU2" s="4" t="s">
        <v>125</v>
      </c>
      <c r="AV2" s="4" t="s">
        <v>126</v>
      </c>
      <c r="AW2" s="7"/>
    </row>
    <row r="3" spans="1:49" x14ac:dyDescent="0.2">
      <c r="A3" s="7">
        <v>1</v>
      </c>
      <c r="B3" s="7">
        <v>38.287288974970501</v>
      </c>
      <c r="C3" s="7">
        <f>-28.266834039241</f>
        <v>-28.266834039241001</v>
      </c>
      <c r="D3" s="8">
        <v>41105</v>
      </c>
      <c r="E3" s="9">
        <v>0.43751157407407404</v>
      </c>
      <c r="F3" s="9"/>
      <c r="G3" s="9">
        <v>6.9444444444444447E-4</v>
      </c>
      <c r="H3" s="7" t="s">
        <v>3</v>
      </c>
      <c r="I3" s="7" t="s">
        <v>4</v>
      </c>
      <c r="J3" s="7" t="s">
        <v>4</v>
      </c>
      <c r="K3" s="7"/>
      <c r="L3" s="7"/>
      <c r="M3" s="7"/>
      <c r="N3" s="7"/>
      <c r="O3" s="7"/>
      <c r="P3" s="7">
        <v>1</v>
      </c>
      <c r="Q3" s="7"/>
      <c r="R3" s="7"/>
      <c r="S3" s="7"/>
      <c r="T3" s="7"/>
      <c r="U3" s="7"/>
      <c r="V3" s="7"/>
      <c r="W3" s="7"/>
      <c r="X3" s="7"/>
      <c r="Y3" s="7"/>
      <c r="Z3" s="7">
        <v>1</v>
      </c>
      <c r="AA3" s="7"/>
      <c r="AB3" s="7">
        <v>5</v>
      </c>
      <c r="AC3" s="7">
        <v>5</v>
      </c>
      <c r="AD3" s="7"/>
      <c r="AE3" s="7"/>
      <c r="AF3" s="7"/>
      <c r="AG3" s="7"/>
      <c r="AH3" s="7"/>
      <c r="AI3" s="7"/>
      <c r="AJ3" s="7">
        <v>1</v>
      </c>
      <c r="AK3" s="7"/>
      <c r="AL3" s="7"/>
      <c r="AM3" s="7">
        <v>1</v>
      </c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x14ac:dyDescent="0.2">
      <c r="A4" s="7">
        <v>2</v>
      </c>
      <c r="B4" s="7">
        <v>38.351341970264897</v>
      </c>
      <c r="C4" s="7">
        <f>-28.1220629811286</f>
        <v>-28.1220629811286</v>
      </c>
      <c r="D4" s="8">
        <v>41109</v>
      </c>
      <c r="E4" s="9">
        <v>0.65878472222222217</v>
      </c>
      <c r="F4" s="9"/>
      <c r="G4" s="9">
        <v>6.9444444444444447E-4</v>
      </c>
      <c r="H4" s="7" t="s">
        <v>5</v>
      </c>
      <c r="I4" s="7" t="s">
        <v>6</v>
      </c>
      <c r="J4" s="7" t="s">
        <v>6</v>
      </c>
      <c r="K4" s="7"/>
      <c r="L4" s="7"/>
      <c r="M4" s="7"/>
      <c r="N4" s="7"/>
      <c r="O4" s="7"/>
      <c r="P4" s="7">
        <v>1</v>
      </c>
      <c r="Q4" s="7"/>
      <c r="R4" s="7"/>
      <c r="S4" s="7"/>
      <c r="T4" s="7"/>
      <c r="U4" s="7"/>
      <c r="V4" s="7"/>
      <c r="W4" s="7"/>
      <c r="X4" s="7"/>
      <c r="Y4" s="7"/>
      <c r="Z4" s="7">
        <v>1</v>
      </c>
      <c r="AA4" s="7"/>
      <c r="AB4" s="7">
        <v>4</v>
      </c>
      <c r="AC4" s="7">
        <v>4</v>
      </c>
      <c r="AD4" s="7"/>
      <c r="AE4" s="7"/>
      <c r="AF4" s="7"/>
      <c r="AG4" s="7"/>
      <c r="AH4" s="7"/>
      <c r="AI4" s="7">
        <v>1</v>
      </c>
      <c r="AJ4" s="7"/>
      <c r="AK4" s="7"/>
      <c r="AL4" s="7"/>
      <c r="AM4" s="7"/>
      <c r="AN4" s="7">
        <v>1</v>
      </c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2">
      <c r="A5" s="7">
        <v>3</v>
      </c>
      <c r="B5" s="7">
        <v>38.3250389713793</v>
      </c>
      <c r="C5" s="7">
        <f>-28.0875939968973</f>
        <v>-28.087593996897301</v>
      </c>
      <c r="D5" s="8">
        <v>41111</v>
      </c>
      <c r="E5" s="9">
        <v>0.70196759259259256</v>
      </c>
      <c r="F5" s="9">
        <v>0.71356481481481471</v>
      </c>
      <c r="G5" s="9">
        <f t="shared" ref="G5:G34" si="0">F5-E5</f>
        <v>1.1597222222222148E-2</v>
      </c>
      <c r="H5" s="7" t="s">
        <v>7</v>
      </c>
      <c r="I5" s="7" t="s">
        <v>8</v>
      </c>
      <c r="J5" s="7" t="s">
        <v>10</v>
      </c>
      <c r="K5" s="7"/>
      <c r="L5" s="7"/>
      <c r="M5" s="7"/>
      <c r="N5" s="7"/>
      <c r="O5" s="7"/>
      <c r="P5" s="7">
        <v>1</v>
      </c>
      <c r="Q5" s="7">
        <v>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>
        <v>5</v>
      </c>
      <c r="AC5" s="7">
        <v>5</v>
      </c>
      <c r="AD5" s="7"/>
      <c r="AE5" s="7"/>
      <c r="AF5" s="7"/>
      <c r="AG5" s="7"/>
      <c r="AH5" s="7"/>
      <c r="AI5" s="7"/>
      <c r="AJ5" s="7">
        <v>1</v>
      </c>
      <c r="AK5" s="7"/>
      <c r="AL5" s="7"/>
      <c r="AM5" s="7">
        <v>1</v>
      </c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">
      <c r="A6" s="7">
        <v>4</v>
      </c>
      <c r="B6" s="7">
        <v>38.2529520057141</v>
      </c>
      <c r="C6" s="7">
        <f>-28.2271830271929</f>
        <v>-28.227183027192901</v>
      </c>
      <c r="D6" s="8">
        <v>41116</v>
      </c>
      <c r="E6" s="9">
        <v>0.49541666666666667</v>
      </c>
      <c r="F6" s="9"/>
      <c r="G6" s="9">
        <v>6.9444444444444447E-4</v>
      </c>
      <c r="H6" s="7" t="s">
        <v>11</v>
      </c>
      <c r="I6" s="7" t="s">
        <v>12</v>
      </c>
      <c r="J6" s="7" t="s">
        <v>12</v>
      </c>
      <c r="K6" s="7"/>
      <c r="L6" s="7"/>
      <c r="M6" s="7"/>
      <c r="N6" s="7"/>
      <c r="O6" s="7"/>
      <c r="P6" s="7">
        <v>1</v>
      </c>
      <c r="Q6" s="7"/>
      <c r="R6" s="7"/>
      <c r="S6" s="7"/>
      <c r="T6" s="7"/>
      <c r="U6" s="7"/>
      <c r="V6" s="7"/>
      <c r="W6" s="7"/>
      <c r="X6" s="7"/>
      <c r="Y6" s="7"/>
      <c r="Z6" s="7">
        <v>1</v>
      </c>
      <c r="AA6" s="7"/>
      <c r="AB6" s="7">
        <v>3</v>
      </c>
      <c r="AC6" s="7">
        <v>3</v>
      </c>
      <c r="AD6" s="7"/>
      <c r="AE6" s="7"/>
      <c r="AF6" s="7"/>
      <c r="AG6" s="7"/>
      <c r="AH6" s="7"/>
      <c r="AI6" s="7"/>
      <c r="AJ6" s="7">
        <v>1</v>
      </c>
      <c r="AK6" s="7"/>
      <c r="AL6" s="7"/>
      <c r="AM6" s="7"/>
      <c r="AN6" s="7"/>
      <c r="AO6" s="7"/>
      <c r="AP6" s="7">
        <v>1</v>
      </c>
      <c r="AQ6" s="7"/>
      <c r="AR6" s="7"/>
      <c r="AS6" s="7"/>
      <c r="AT6" s="7"/>
      <c r="AU6" s="7"/>
      <c r="AV6" s="7"/>
      <c r="AW6" s="7"/>
    </row>
    <row r="7" spans="1:49" x14ac:dyDescent="0.2">
      <c r="A7" s="7">
        <v>5</v>
      </c>
      <c r="B7" s="7">
        <v>38.327221032232003</v>
      </c>
      <c r="C7" s="7">
        <f>-28.296507988125</f>
        <v>-28.296507988125001</v>
      </c>
      <c r="D7" s="8">
        <v>41834</v>
      </c>
      <c r="E7" s="9">
        <v>0.44165509259259261</v>
      </c>
      <c r="F7" s="9">
        <v>0.44423611111111111</v>
      </c>
      <c r="G7" s="9">
        <f t="shared" si="0"/>
        <v>2.5810185185184964E-3</v>
      </c>
      <c r="H7" s="7" t="s">
        <v>13</v>
      </c>
      <c r="I7" s="7" t="s">
        <v>8</v>
      </c>
      <c r="J7" s="7" t="s">
        <v>15</v>
      </c>
      <c r="K7" s="7">
        <v>1</v>
      </c>
      <c r="L7" s="7"/>
      <c r="M7" s="7"/>
      <c r="N7" s="7"/>
      <c r="O7" s="7"/>
      <c r="P7" s="7">
        <v>1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>
        <v>5</v>
      </c>
      <c r="AC7" s="7">
        <v>5</v>
      </c>
      <c r="AD7" s="7"/>
      <c r="AE7" s="7"/>
      <c r="AF7" s="7"/>
      <c r="AG7" s="7"/>
      <c r="AH7" s="7"/>
      <c r="AI7" s="7">
        <v>1</v>
      </c>
      <c r="AJ7" s="7"/>
      <c r="AK7" s="7"/>
      <c r="AL7" s="7"/>
      <c r="AM7" s="7"/>
      <c r="AN7" s="7">
        <v>1</v>
      </c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">
      <c r="A8" s="7">
        <v>6</v>
      </c>
      <c r="B8" s="7">
        <v>38.306504990905502</v>
      </c>
      <c r="C8" s="7">
        <f>-28.2474699988961</f>
        <v>-28.247469998896101</v>
      </c>
      <c r="D8" s="8">
        <v>42198</v>
      </c>
      <c r="E8" s="9">
        <v>0.44072916666666667</v>
      </c>
      <c r="F8" s="9">
        <v>0.45548611111111109</v>
      </c>
      <c r="G8" s="9">
        <f t="shared" si="0"/>
        <v>1.475694444444442E-2</v>
      </c>
      <c r="H8" s="7" t="s">
        <v>16</v>
      </c>
      <c r="I8" s="7" t="s">
        <v>8</v>
      </c>
      <c r="J8" s="7" t="s">
        <v>18</v>
      </c>
      <c r="K8" s="7"/>
      <c r="L8" s="7"/>
      <c r="M8" s="7"/>
      <c r="N8" s="7"/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/>
      <c r="Z8" s="7">
        <v>1</v>
      </c>
      <c r="AA8" s="7"/>
      <c r="AB8" s="7">
        <v>2</v>
      </c>
      <c r="AC8" s="7">
        <v>2</v>
      </c>
      <c r="AD8" s="7"/>
      <c r="AE8" s="7"/>
      <c r="AF8" s="7"/>
      <c r="AG8" s="7"/>
      <c r="AH8" s="7"/>
      <c r="AI8" s="7">
        <v>1</v>
      </c>
      <c r="AJ8" s="7"/>
      <c r="AK8" s="7"/>
      <c r="AL8" s="7"/>
      <c r="AM8" s="7">
        <v>1</v>
      </c>
      <c r="AN8" s="7"/>
      <c r="AO8" s="7"/>
      <c r="AP8" s="7"/>
      <c r="AQ8" s="7"/>
      <c r="AR8" s="7"/>
      <c r="AS8" s="7">
        <v>1</v>
      </c>
      <c r="AT8" s="7"/>
      <c r="AU8" s="7"/>
      <c r="AV8" s="7"/>
      <c r="AW8" s="7"/>
    </row>
    <row r="9" spans="1:49" x14ac:dyDescent="0.2">
      <c r="A9" s="7">
        <v>7</v>
      </c>
      <c r="B9" s="7">
        <v>38.342226985841897</v>
      </c>
      <c r="C9" s="7">
        <f>-28.155828975141</f>
        <v>-28.155828975140999</v>
      </c>
      <c r="D9" s="8">
        <v>42200</v>
      </c>
      <c r="E9" s="9">
        <v>0.4803587962962963</v>
      </c>
      <c r="F9" s="9">
        <v>0.49723379629629627</v>
      </c>
      <c r="G9" s="9">
        <f t="shared" si="0"/>
        <v>1.6874999999999973E-2</v>
      </c>
      <c r="H9" s="7" t="s">
        <v>19</v>
      </c>
      <c r="I9" s="7" t="s">
        <v>8</v>
      </c>
      <c r="J9" s="7" t="s">
        <v>21</v>
      </c>
      <c r="K9" s="7"/>
      <c r="L9" s="7"/>
      <c r="M9" s="7"/>
      <c r="N9" s="7"/>
      <c r="O9" s="7"/>
      <c r="P9" s="7">
        <v>1</v>
      </c>
      <c r="Q9" s="7"/>
      <c r="R9" s="7"/>
      <c r="S9" s="7"/>
      <c r="T9" s="7"/>
      <c r="U9" s="7"/>
      <c r="V9" s="7"/>
      <c r="W9" s="7"/>
      <c r="X9" s="7"/>
      <c r="Y9" s="7"/>
      <c r="Z9" s="7">
        <v>1</v>
      </c>
      <c r="AA9" s="7"/>
      <c r="AB9" s="7">
        <v>5</v>
      </c>
      <c r="AC9" s="7">
        <v>5</v>
      </c>
      <c r="AD9" s="7"/>
      <c r="AE9" s="7"/>
      <c r="AF9" s="7"/>
      <c r="AG9" s="7"/>
      <c r="AH9" s="7"/>
      <c r="AI9" s="7">
        <v>1</v>
      </c>
      <c r="AJ9" s="7"/>
      <c r="AK9" s="7"/>
      <c r="AL9" s="7"/>
      <c r="AM9" s="7"/>
      <c r="AN9" s="7">
        <v>1</v>
      </c>
      <c r="AO9" s="7"/>
      <c r="AP9" s="7"/>
      <c r="AQ9" s="7"/>
      <c r="AR9" s="7"/>
      <c r="AS9" s="7">
        <v>1</v>
      </c>
      <c r="AT9" s="7"/>
      <c r="AU9" s="7"/>
      <c r="AV9" s="7"/>
      <c r="AW9" s="7"/>
    </row>
    <row r="10" spans="1:49" x14ac:dyDescent="0.2">
      <c r="A10" s="7">
        <v>8</v>
      </c>
      <c r="B10" s="7">
        <v>38.344968035817097</v>
      </c>
      <c r="C10" s="7">
        <f>-28.2946430146694</f>
        <v>-28.294643014669401</v>
      </c>
      <c r="D10" s="8">
        <v>42200</v>
      </c>
      <c r="E10" s="9">
        <v>0.60612268518518519</v>
      </c>
      <c r="F10" s="9">
        <v>0.61108796296296297</v>
      </c>
      <c r="G10" s="9">
        <f t="shared" si="0"/>
        <v>4.9652777777777768E-3</v>
      </c>
      <c r="H10" s="7" t="s">
        <v>22</v>
      </c>
      <c r="I10" s="7" t="s">
        <v>8</v>
      </c>
      <c r="J10" s="7" t="s">
        <v>24</v>
      </c>
      <c r="K10" s="7"/>
      <c r="L10" s="7"/>
      <c r="M10" s="7"/>
      <c r="N10" s="7"/>
      <c r="O10" s="7">
        <v>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1</v>
      </c>
      <c r="AA10" s="7"/>
      <c r="AB10" s="7">
        <v>6</v>
      </c>
      <c r="AC10" s="7">
        <v>6</v>
      </c>
      <c r="AD10" s="7"/>
      <c r="AE10" s="7"/>
      <c r="AF10" s="7"/>
      <c r="AG10" s="7"/>
      <c r="AH10" s="7"/>
      <c r="AI10" s="7">
        <v>1</v>
      </c>
      <c r="AJ10" s="7"/>
      <c r="AK10" s="7"/>
      <c r="AL10" s="7"/>
      <c r="AM10" s="7"/>
      <c r="AN10" s="7">
        <v>1</v>
      </c>
      <c r="AO10" s="7"/>
      <c r="AP10" s="7"/>
      <c r="AQ10" s="7"/>
      <c r="AR10" s="7"/>
      <c r="AS10" s="7">
        <v>1</v>
      </c>
      <c r="AT10" s="7"/>
      <c r="AU10" s="7"/>
      <c r="AV10" s="7"/>
      <c r="AW10" s="7"/>
    </row>
    <row r="11" spans="1:49" x14ac:dyDescent="0.2">
      <c r="A11" s="7">
        <v>9</v>
      </c>
      <c r="B11" s="7">
        <v>38.234035978093701</v>
      </c>
      <c r="C11" s="7">
        <f>-28.3695449586957</f>
        <v>-28.369544958695698</v>
      </c>
      <c r="D11" s="8">
        <v>42202</v>
      </c>
      <c r="E11" s="9">
        <v>0.68976851851851861</v>
      </c>
      <c r="F11" s="9"/>
      <c r="G11" s="9">
        <v>6.9444444444444447E-4</v>
      </c>
      <c r="H11" s="7" t="s">
        <v>25</v>
      </c>
      <c r="I11" s="7" t="s">
        <v>26</v>
      </c>
      <c r="J11" s="7" t="s">
        <v>26</v>
      </c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>
        <v>1</v>
      </c>
      <c r="AA11" s="7"/>
      <c r="AB11" s="7">
        <v>3</v>
      </c>
      <c r="AC11" s="7">
        <v>3</v>
      </c>
      <c r="AD11" s="7"/>
      <c r="AE11" s="7"/>
      <c r="AF11" s="7"/>
      <c r="AG11" s="7"/>
      <c r="AH11" s="7"/>
      <c r="AI11" s="7">
        <v>1</v>
      </c>
      <c r="AJ11" s="7"/>
      <c r="AK11" s="7"/>
      <c r="AL11" s="7"/>
      <c r="AM11" s="7"/>
      <c r="AN11" s="7"/>
      <c r="AO11" s="7">
        <v>1</v>
      </c>
      <c r="AP11" s="7"/>
      <c r="AQ11" s="7"/>
      <c r="AR11" s="7"/>
      <c r="AS11" s="7">
        <v>3</v>
      </c>
      <c r="AT11" s="7"/>
      <c r="AU11" s="7"/>
      <c r="AV11" s="7"/>
      <c r="AW11" s="7"/>
    </row>
    <row r="12" spans="1:49" x14ac:dyDescent="0.2">
      <c r="A12" s="7">
        <v>10</v>
      </c>
      <c r="B12" s="7">
        <v>38.3244219794869</v>
      </c>
      <c r="C12" s="7">
        <f>-28.1983579974621</f>
        <v>-28.1983579974621</v>
      </c>
      <c r="D12" s="8">
        <v>42219</v>
      </c>
      <c r="E12" s="9">
        <v>0.4924189814814815</v>
      </c>
      <c r="F12" s="9">
        <v>0.50666666666666671</v>
      </c>
      <c r="G12" s="9">
        <f t="shared" si="0"/>
        <v>1.424768518518521E-2</v>
      </c>
      <c r="H12" s="7" t="s">
        <v>27</v>
      </c>
      <c r="I12" s="7" t="s">
        <v>8</v>
      </c>
      <c r="J12" s="7" t="s">
        <v>29</v>
      </c>
      <c r="K12" s="7"/>
      <c r="L12" s="7"/>
      <c r="M12" s="7"/>
      <c r="N12" s="7"/>
      <c r="O12" s="7">
        <v>1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>
        <v>1</v>
      </c>
      <c r="AA12" s="7"/>
      <c r="AB12" s="7">
        <v>5</v>
      </c>
      <c r="AC12" s="7">
        <v>5</v>
      </c>
      <c r="AD12" s="7"/>
      <c r="AE12" s="7"/>
      <c r="AF12" s="7"/>
      <c r="AG12" s="7"/>
      <c r="AH12" s="7"/>
      <c r="AI12" s="7">
        <v>1</v>
      </c>
      <c r="AJ12" s="7"/>
      <c r="AK12" s="7"/>
      <c r="AL12" s="7"/>
      <c r="AM12" s="7">
        <v>1</v>
      </c>
      <c r="AN12" s="7"/>
      <c r="AO12" s="7"/>
      <c r="AP12" s="7"/>
      <c r="AQ12" s="7"/>
      <c r="AR12" s="7"/>
      <c r="AS12" s="7">
        <v>2</v>
      </c>
      <c r="AT12" s="7"/>
      <c r="AU12" s="7"/>
      <c r="AV12" s="7"/>
      <c r="AW12" s="7"/>
    </row>
    <row r="13" spans="1:49" x14ac:dyDescent="0.2">
      <c r="A13" s="7">
        <v>11</v>
      </c>
      <c r="B13" s="7">
        <v>38.353459993377299</v>
      </c>
      <c r="C13" s="7">
        <f>-28.1560660153627</f>
        <v>-28.1560660153627</v>
      </c>
      <c r="D13" s="8">
        <v>42220</v>
      </c>
      <c r="E13" s="9">
        <v>0.68396990740740737</v>
      </c>
      <c r="F13" s="9">
        <v>0.70209490740740732</v>
      </c>
      <c r="G13" s="9">
        <f t="shared" si="0"/>
        <v>1.8124999999999947E-2</v>
      </c>
      <c r="H13" s="7" t="s">
        <v>30</v>
      </c>
      <c r="I13" s="7" t="s">
        <v>8</v>
      </c>
      <c r="J13" s="7" t="s">
        <v>32</v>
      </c>
      <c r="K13" s="7"/>
      <c r="L13" s="7">
        <v>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2</v>
      </c>
      <c r="AC13" s="7">
        <v>2</v>
      </c>
      <c r="AD13" s="7"/>
      <c r="AE13" s="7"/>
      <c r="AF13" s="7"/>
      <c r="AG13" s="7"/>
      <c r="AH13" s="7"/>
      <c r="AI13" s="7"/>
      <c r="AJ13" s="7">
        <v>1</v>
      </c>
      <c r="AK13" s="7"/>
      <c r="AL13" s="7"/>
      <c r="AM13" s="7"/>
      <c r="AN13" s="7">
        <v>1</v>
      </c>
      <c r="AO13" s="7"/>
      <c r="AP13" s="7"/>
      <c r="AQ13" s="7"/>
      <c r="AR13" s="7"/>
      <c r="AS13" s="7">
        <v>1</v>
      </c>
      <c r="AT13" s="7"/>
      <c r="AU13" s="7"/>
      <c r="AV13" s="7"/>
      <c r="AW13" s="7"/>
    </row>
    <row r="14" spans="1:49" x14ac:dyDescent="0.2">
      <c r="A14" s="7">
        <v>12</v>
      </c>
      <c r="B14" s="7">
        <v>38.361295983195298</v>
      </c>
      <c r="C14" s="7">
        <f>-28.3957720175385</f>
        <v>-28.395772017538501</v>
      </c>
      <c r="D14" s="8">
        <v>42260</v>
      </c>
      <c r="E14" s="9">
        <v>0.71265046296296297</v>
      </c>
      <c r="F14" s="9"/>
      <c r="G14" s="9">
        <v>6.9444444444444447E-4</v>
      </c>
      <c r="H14" s="7" t="s">
        <v>33</v>
      </c>
      <c r="I14" s="7" t="s">
        <v>34</v>
      </c>
      <c r="J14" s="7" t="s">
        <v>34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>
        <v>1</v>
      </c>
      <c r="AB14" s="7">
        <v>5</v>
      </c>
      <c r="AC14" s="7">
        <v>5</v>
      </c>
      <c r="AD14" s="7"/>
      <c r="AE14" s="7"/>
      <c r="AF14" s="7"/>
      <c r="AG14" s="7"/>
      <c r="AH14" s="7"/>
      <c r="AI14" s="7">
        <v>1</v>
      </c>
      <c r="AJ14" s="7"/>
      <c r="AK14" s="7"/>
      <c r="AL14" s="7"/>
      <c r="AM14" s="7">
        <v>1</v>
      </c>
      <c r="AN14" s="7"/>
      <c r="AO14" s="7"/>
      <c r="AP14" s="7"/>
      <c r="AQ14" s="7"/>
      <c r="AR14" s="7"/>
      <c r="AS14" s="7">
        <v>1</v>
      </c>
      <c r="AT14" s="7"/>
      <c r="AU14" s="7"/>
      <c r="AV14" s="7"/>
      <c r="AW14" s="7"/>
    </row>
    <row r="15" spans="1:49" x14ac:dyDescent="0.2">
      <c r="A15" s="7">
        <v>13</v>
      </c>
      <c r="B15" s="7">
        <v>38.3359249681234</v>
      </c>
      <c r="C15" s="7">
        <f>-28.2319970056414</f>
        <v>-28.2319970056414</v>
      </c>
      <c r="D15" s="8">
        <v>42276</v>
      </c>
      <c r="E15" s="9">
        <v>0.4427314814814815</v>
      </c>
      <c r="F15" s="9">
        <v>0.45121527777777781</v>
      </c>
      <c r="G15" s="9">
        <f t="shared" si="0"/>
        <v>8.4837962962963087E-3</v>
      </c>
      <c r="H15" s="7" t="s">
        <v>35</v>
      </c>
      <c r="I15" s="7" t="s">
        <v>8</v>
      </c>
      <c r="J15" s="7" t="s">
        <v>37</v>
      </c>
      <c r="K15" s="7"/>
      <c r="L15" s="7"/>
      <c r="M15" s="7"/>
      <c r="N15" s="7">
        <v>1</v>
      </c>
      <c r="O15" s="7"/>
      <c r="P15" s="7"/>
      <c r="Q15" s="7"/>
      <c r="R15" s="7">
        <v>1</v>
      </c>
      <c r="S15" s="7"/>
      <c r="T15" s="7"/>
      <c r="U15" s="7"/>
      <c r="V15" s="7"/>
      <c r="W15" s="7"/>
      <c r="X15" s="7"/>
      <c r="Y15" s="7"/>
      <c r="Z15" s="7"/>
      <c r="AA15" s="7"/>
      <c r="AB15" s="7">
        <v>4</v>
      </c>
      <c r="AC15" s="7">
        <v>2</v>
      </c>
      <c r="AD15" s="7"/>
      <c r="AE15" s="7">
        <v>2</v>
      </c>
      <c r="AF15" s="7"/>
      <c r="AG15" s="7"/>
      <c r="AH15" s="7"/>
      <c r="AI15" s="7"/>
      <c r="AJ15" s="7">
        <v>1</v>
      </c>
      <c r="AK15" s="7"/>
      <c r="AL15" s="7"/>
      <c r="AM15" s="7"/>
      <c r="AN15" s="7">
        <v>1</v>
      </c>
      <c r="AO15" s="7"/>
      <c r="AP15" s="7"/>
      <c r="AQ15" s="7"/>
      <c r="AR15" s="7"/>
      <c r="AS15" s="7">
        <v>2</v>
      </c>
      <c r="AT15" s="7"/>
      <c r="AU15" s="7"/>
      <c r="AV15" s="7"/>
      <c r="AW15" s="7"/>
    </row>
    <row r="16" spans="1:49" x14ac:dyDescent="0.2">
      <c r="A16" s="7">
        <v>14</v>
      </c>
      <c r="B16" s="7">
        <v>38.2982649933546</v>
      </c>
      <c r="C16" s="7">
        <f>-28.366850009188</f>
        <v>-28.366850009187999</v>
      </c>
      <c r="D16" s="8">
        <v>42283</v>
      </c>
      <c r="E16" s="9">
        <v>0.49554398148148149</v>
      </c>
      <c r="F16" s="9"/>
      <c r="G16" s="9">
        <v>6.9444444444444447E-4</v>
      </c>
      <c r="H16" s="7" t="s">
        <v>38</v>
      </c>
      <c r="I16" s="7" t="s">
        <v>39</v>
      </c>
      <c r="J16" s="7" t="s">
        <v>39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>
        <v>1</v>
      </c>
      <c r="AB16" s="7">
        <v>6</v>
      </c>
      <c r="AC16" s="7">
        <v>6</v>
      </c>
      <c r="AD16" s="7"/>
      <c r="AE16" s="7"/>
      <c r="AF16" s="7"/>
      <c r="AG16" s="7"/>
      <c r="AH16" s="7"/>
      <c r="AI16" s="7">
        <v>1</v>
      </c>
      <c r="AJ16" s="7"/>
      <c r="AK16" s="7"/>
      <c r="AL16" s="7"/>
      <c r="AM16" s="7">
        <v>1</v>
      </c>
      <c r="AN16" s="7"/>
      <c r="AO16" s="7"/>
      <c r="AP16" s="7"/>
      <c r="AQ16" s="7"/>
      <c r="AR16" s="7"/>
      <c r="AS16" s="7">
        <v>1</v>
      </c>
      <c r="AT16" s="7"/>
      <c r="AU16" s="7"/>
      <c r="AV16" s="7"/>
      <c r="AW16" s="7"/>
    </row>
    <row r="17" spans="1:49" x14ac:dyDescent="0.2">
      <c r="A17" s="7">
        <v>15</v>
      </c>
      <c r="B17" s="7">
        <v>38.3263519965112</v>
      </c>
      <c r="C17" s="7">
        <f>-28.4677350148558</f>
        <v>-28.467735014855801</v>
      </c>
      <c r="D17" s="8">
        <v>42283</v>
      </c>
      <c r="E17" s="9">
        <v>0.70339120370370367</v>
      </c>
      <c r="F17" s="9"/>
      <c r="G17" s="9">
        <v>6.9444444444444447E-4</v>
      </c>
      <c r="H17" s="7" t="s">
        <v>40</v>
      </c>
      <c r="I17" s="7" t="s">
        <v>41</v>
      </c>
      <c r="J17" s="7" t="s">
        <v>41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>
        <v>1</v>
      </c>
      <c r="AB17" s="7">
        <v>8</v>
      </c>
      <c r="AC17" s="7">
        <v>8</v>
      </c>
      <c r="AD17" s="7"/>
      <c r="AE17" s="7"/>
      <c r="AF17" s="7"/>
      <c r="AG17" s="7"/>
      <c r="AH17" s="7"/>
      <c r="AI17" s="7">
        <v>1</v>
      </c>
      <c r="AJ17" s="7"/>
      <c r="AK17" s="7"/>
      <c r="AL17" s="7"/>
      <c r="AM17" s="7">
        <v>1</v>
      </c>
      <c r="AN17" s="7"/>
      <c r="AO17" s="7"/>
      <c r="AP17" s="7"/>
      <c r="AQ17" s="7"/>
      <c r="AR17" s="7"/>
      <c r="AS17" s="7">
        <v>1</v>
      </c>
      <c r="AT17" s="7"/>
      <c r="AU17" s="7"/>
      <c r="AV17" s="7"/>
      <c r="AW17" s="7"/>
    </row>
    <row r="18" spans="1:49" x14ac:dyDescent="0.2">
      <c r="A18" s="7">
        <v>16</v>
      </c>
      <c r="B18" s="7">
        <v>38.343783002346697</v>
      </c>
      <c r="C18" s="7">
        <f>-28.1856849789619</f>
        <v>-28.185684978961898</v>
      </c>
      <c r="D18" s="8">
        <v>42563</v>
      </c>
      <c r="E18" s="9">
        <v>0.66726851851851843</v>
      </c>
      <c r="F18" s="9">
        <v>0.68855324074074076</v>
      </c>
      <c r="G18" s="9">
        <f t="shared" si="0"/>
        <v>2.128472222222233E-2</v>
      </c>
      <c r="H18" s="7" t="s">
        <v>42</v>
      </c>
      <c r="I18" s="7" t="s">
        <v>8</v>
      </c>
      <c r="J18" s="7" t="s">
        <v>44</v>
      </c>
      <c r="K18" s="7"/>
      <c r="L18" s="7"/>
      <c r="M18" s="7"/>
      <c r="N18" s="7"/>
      <c r="O18" s="7">
        <v>1</v>
      </c>
      <c r="P18" s="7"/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>
        <v>8</v>
      </c>
      <c r="AC18" s="7">
        <v>8</v>
      </c>
      <c r="AD18" s="7"/>
      <c r="AE18" s="7"/>
      <c r="AF18" s="7"/>
      <c r="AG18" s="7"/>
      <c r="AH18" s="7"/>
      <c r="AI18" s="7">
        <v>1</v>
      </c>
      <c r="AJ18" s="7"/>
      <c r="AK18" s="7"/>
      <c r="AL18" s="7"/>
      <c r="AM18" s="7">
        <v>1</v>
      </c>
      <c r="AN18" s="7"/>
      <c r="AO18" s="7"/>
      <c r="AP18" s="7"/>
      <c r="AQ18" s="7"/>
      <c r="AR18" s="7"/>
      <c r="AS18" s="7">
        <v>4</v>
      </c>
      <c r="AT18" s="7"/>
      <c r="AU18" s="7"/>
      <c r="AV18" s="7"/>
      <c r="AW18" s="7"/>
    </row>
    <row r="19" spans="1:49" x14ac:dyDescent="0.2">
      <c r="A19" s="7">
        <v>17</v>
      </c>
      <c r="B19" s="7">
        <v>38.282967014238203</v>
      </c>
      <c r="C19" s="7">
        <f>-28.3136820048093</f>
        <v>-28.313682004809301</v>
      </c>
      <c r="D19" s="8">
        <v>42565</v>
      </c>
      <c r="E19" s="9">
        <v>0.63680555555555551</v>
      </c>
      <c r="F19" s="9"/>
      <c r="G19" s="9">
        <v>6.9444444444444447E-4</v>
      </c>
      <c r="H19" s="7" t="s">
        <v>45</v>
      </c>
      <c r="I19" s="7" t="s">
        <v>46</v>
      </c>
      <c r="J19" s="7" t="s">
        <v>46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>
        <v>1</v>
      </c>
      <c r="AB19" s="7">
        <v>8</v>
      </c>
      <c r="AC19" s="7">
        <v>8</v>
      </c>
      <c r="AD19" s="7"/>
      <c r="AE19" s="7"/>
      <c r="AF19" s="7"/>
      <c r="AG19" s="7"/>
      <c r="AH19" s="7"/>
      <c r="AI19" s="7">
        <v>1</v>
      </c>
      <c r="AJ19" s="7"/>
      <c r="AK19" s="7"/>
      <c r="AL19" s="7"/>
      <c r="AM19" s="7">
        <v>1</v>
      </c>
      <c r="AN19" s="7"/>
      <c r="AO19" s="7"/>
      <c r="AP19" s="7"/>
      <c r="AQ19" s="7"/>
      <c r="AR19" s="7"/>
      <c r="AS19" s="7">
        <v>4</v>
      </c>
      <c r="AT19" s="7"/>
      <c r="AU19" s="7"/>
      <c r="AV19" s="7"/>
      <c r="AW19" s="7"/>
    </row>
    <row r="20" spans="1:49" x14ac:dyDescent="0.2">
      <c r="A20" s="7">
        <v>18</v>
      </c>
      <c r="B20" s="7">
        <v>38.333887998014603</v>
      </c>
      <c r="C20" s="7">
        <f>-28.0603060405701</f>
        <v>-28.060306040570101</v>
      </c>
      <c r="D20" s="8">
        <v>42573</v>
      </c>
      <c r="E20" s="9">
        <v>0.6535185185185185</v>
      </c>
      <c r="F20" s="9">
        <v>0.66849537037037043</v>
      </c>
      <c r="G20" s="9">
        <f t="shared" si="0"/>
        <v>1.4976851851851936E-2</v>
      </c>
      <c r="H20" s="7" t="s">
        <v>47</v>
      </c>
      <c r="I20" s="7" t="s">
        <v>8</v>
      </c>
      <c r="J20" s="7" t="s">
        <v>49</v>
      </c>
      <c r="K20" s="7"/>
      <c r="L20" s="7">
        <v>1</v>
      </c>
      <c r="M20" s="7"/>
      <c r="N20" s="7"/>
      <c r="O20" s="7"/>
      <c r="P20" s="7"/>
      <c r="Q20" s="7">
        <v>1</v>
      </c>
      <c r="R20" s="7"/>
      <c r="S20" s="7"/>
      <c r="T20" s="7"/>
      <c r="U20" s="7">
        <v>1</v>
      </c>
      <c r="V20" s="7"/>
      <c r="W20" s="7"/>
      <c r="X20" s="7"/>
      <c r="Y20" s="7"/>
      <c r="Z20" s="7">
        <v>1</v>
      </c>
      <c r="AA20" s="7"/>
      <c r="AB20" s="7">
        <v>8</v>
      </c>
      <c r="AC20" s="7">
        <v>8</v>
      </c>
      <c r="AD20" s="7"/>
      <c r="AE20" s="7"/>
      <c r="AF20" s="7"/>
      <c r="AG20" s="7"/>
      <c r="AH20" s="7"/>
      <c r="AI20" s="7">
        <v>1</v>
      </c>
      <c r="AJ20" s="7"/>
      <c r="AK20" s="7"/>
      <c r="AL20" s="7"/>
      <c r="AM20" s="7">
        <v>1</v>
      </c>
      <c r="AN20" s="7"/>
      <c r="AO20" s="7"/>
      <c r="AP20" s="7"/>
      <c r="AQ20" s="7"/>
      <c r="AR20" s="7"/>
      <c r="AS20" s="7">
        <v>2</v>
      </c>
      <c r="AT20" s="7"/>
      <c r="AU20" s="7"/>
      <c r="AV20" s="7"/>
      <c r="AW20" s="7"/>
    </row>
    <row r="21" spans="1:49" x14ac:dyDescent="0.2">
      <c r="A21" s="7">
        <v>19</v>
      </c>
      <c r="B21" s="7">
        <v>38.532039038836899</v>
      </c>
      <c r="C21" s="7">
        <f>-28.0053660180419</f>
        <v>-28.005366018041901</v>
      </c>
      <c r="D21" s="8">
        <v>42573</v>
      </c>
      <c r="E21" s="9">
        <v>0.71666666666666667</v>
      </c>
      <c r="F21" s="9">
        <v>0.72619212962962953</v>
      </c>
      <c r="G21" s="9">
        <f t="shared" si="0"/>
        <v>9.5254629629628607E-3</v>
      </c>
      <c r="H21" s="7" t="s">
        <v>50</v>
      </c>
      <c r="I21" s="7" t="s">
        <v>8</v>
      </c>
      <c r="J21" s="7" t="s">
        <v>52</v>
      </c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1</v>
      </c>
      <c r="AA21" s="7"/>
      <c r="AB21" s="7">
        <v>7</v>
      </c>
      <c r="AC21" s="7">
        <v>7</v>
      </c>
      <c r="AD21" s="7"/>
      <c r="AE21" s="7"/>
      <c r="AF21" s="7"/>
      <c r="AG21" s="7"/>
      <c r="AH21" s="7"/>
      <c r="AI21" s="7"/>
      <c r="AJ21" s="7">
        <v>1</v>
      </c>
      <c r="AK21" s="7"/>
      <c r="AL21" s="7"/>
      <c r="AM21" s="7">
        <v>1</v>
      </c>
      <c r="AN21" s="7"/>
      <c r="AO21" s="7"/>
      <c r="AP21" s="7"/>
      <c r="AQ21" s="7"/>
      <c r="AR21" s="7"/>
      <c r="AS21" s="7">
        <v>3</v>
      </c>
      <c r="AT21" s="7"/>
      <c r="AU21" s="7"/>
      <c r="AV21" s="7"/>
      <c r="AW21" s="7"/>
    </row>
    <row r="22" spans="1:49" x14ac:dyDescent="0.2">
      <c r="A22" s="7">
        <v>20</v>
      </c>
      <c r="B22" s="7">
        <v>38.272745031863401</v>
      </c>
      <c r="C22" s="7">
        <f>-28.3043690398335</f>
        <v>-28.304369039833499</v>
      </c>
      <c r="D22" s="8">
        <v>42576</v>
      </c>
      <c r="E22" s="9">
        <v>0.49547453703703703</v>
      </c>
      <c r="F22" s="9"/>
      <c r="G22" s="9">
        <v>6.9444444444444447E-4</v>
      </c>
      <c r="H22" s="7" t="s">
        <v>53</v>
      </c>
      <c r="I22" s="7" t="s">
        <v>54</v>
      </c>
      <c r="J22" s="7" t="s">
        <v>54</v>
      </c>
      <c r="K22" s="7"/>
      <c r="L22" s="7">
        <v>1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>
        <v>1</v>
      </c>
      <c r="AA22" s="7"/>
      <c r="AB22" s="7">
        <v>5</v>
      </c>
      <c r="AC22" s="7">
        <v>5</v>
      </c>
      <c r="AD22" s="7"/>
      <c r="AE22" s="7"/>
      <c r="AF22" s="7"/>
      <c r="AG22" s="7"/>
      <c r="AH22" s="7"/>
      <c r="AI22" s="7">
        <v>1</v>
      </c>
      <c r="AJ22" s="7"/>
      <c r="AK22" s="7"/>
      <c r="AL22" s="7"/>
      <c r="AM22" s="7"/>
      <c r="AN22" s="7">
        <v>1</v>
      </c>
      <c r="AO22" s="7"/>
      <c r="AP22" s="7"/>
      <c r="AQ22" s="7"/>
      <c r="AR22" s="7"/>
      <c r="AS22" s="7">
        <v>1</v>
      </c>
      <c r="AT22" s="7"/>
      <c r="AU22" s="7"/>
      <c r="AV22" s="7"/>
      <c r="AW22" s="7"/>
    </row>
    <row r="23" spans="1:49" x14ac:dyDescent="0.2">
      <c r="A23" s="7">
        <v>21</v>
      </c>
      <c r="B23" s="7">
        <v>38.241176018491302</v>
      </c>
      <c r="C23" s="7">
        <f>-28.1568639725446</f>
        <v>-28.156863972544599</v>
      </c>
      <c r="D23" s="8">
        <v>42576</v>
      </c>
      <c r="E23" s="9">
        <v>0.68377314814814805</v>
      </c>
      <c r="F23" s="9">
        <v>0.68776620370370367</v>
      </c>
      <c r="G23" s="9">
        <f t="shared" si="0"/>
        <v>3.9930555555556246E-3</v>
      </c>
      <c r="H23" s="7" t="s">
        <v>55</v>
      </c>
      <c r="I23" s="7" t="s">
        <v>8</v>
      </c>
      <c r="J23" s="7" t="s">
        <v>57</v>
      </c>
      <c r="K23" s="7"/>
      <c r="L23" s="7"/>
      <c r="M23" s="7"/>
      <c r="N23" s="7"/>
      <c r="O23" s="7">
        <v>1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1</v>
      </c>
      <c r="AA23" s="7"/>
      <c r="AB23" s="7">
        <v>7</v>
      </c>
      <c r="AC23" s="7">
        <v>7</v>
      </c>
      <c r="AD23" s="7"/>
      <c r="AE23" s="7"/>
      <c r="AF23" s="7"/>
      <c r="AG23" s="7"/>
      <c r="AH23" s="7"/>
      <c r="AI23" s="7">
        <v>1</v>
      </c>
      <c r="AJ23" s="7"/>
      <c r="AK23" s="7"/>
      <c r="AL23" s="7"/>
      <c r="AM23" s="7">
        <v>1</v>
      </c>
      <c r="AN23" s="7"/>
      <c r="AO23" s="7"/>
      <c r="AP23" s="7"/>
      <c r="AQ23" s="7"/>
      <c r="AR23" s="7"/>
      <c r="AS23" s="7">
        <v>2</v>
      </c>
      <c r="AT23" s="7"/>
      <c r="AU23" s="7"/>
      <c r="AV23" s="7"/>
      <c r="AW23" s="7"/>
    </row>
    <row r="24" spans="1:49" x14ac:dyDescent="0.2">
      <c r="A24" s="7">
        <v>22</v>
      </c>
      <c r="B24" s="7">
        <v>38.287871014326797</v>
      </c>
      <c r="C24" s="7">
        <f>-28.1986439879983</f>
        <v>-28.198643987998299</v>
      </c>
      <c r="D24" s="8">
        <v>42579</v>
      </c>
      <c r="E24" s="9">
        <v>0.43189814814814814</v>
      </c>
      <c r="F24" s="9"/>
      <c r="G24" s="9">
        <v>6.9444444444444447E-4</v>
      </c>
      <c r="H24" s="7" t="s">
        <v>58</v>
      </c>
      <c r="I24" s="7" t="s">
        <v>59</v>
      </c>
      <c r="J24" s="7" t="s">
        <v>59</v>
      </c>
      <c r="K24" s="7"/>
      <c r="L24" s="7"/>
      <c r="M24" s="7"/>
      <c r="N24" s="7"/>
      <c r="O24" s="7">
        <v>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1</v>
      </c>
      <c r="AA24" s="7"/>
      <c r="AB24" s="7">
        <v>6</v>
      </c>
      <c r="AC24" s="7">
        <v>6</v>
      </c>
      <c r="AD24" s="7"/>
      <c r="AE24" s="7"/>
      <c r="AF24" s="7"/>
      <c r="AG24" s="7"/>
      <c r="AH24" s="7"/>
      <c r="AI24" s="7">
        <v>1</v>
      </c>
      <c r="AJ24" s="7"/>
      <c r="AK24" s="7"/>
      <c r="AL24" s="7"/>
      <c r="AM24" s="7"/>
      <c r="AN24" s="7"/>
      <c r="AO24" s="7">
        <v>1</v>
      </c>
      <c r="AP24" s="7"/>
      <c r="AQ24" s="7"/>
      <c r="AR24" s="7"/>
      <c r="AS24" s="7">
        <v>3</v>
      </c>
      <c r="AT24" s="7"/>
      <c r="AU24" s="7"/>
      <c r="AV24" s="7"/>
      <c r="AW24" s="7"/>
    </row>
    <row r="25" spans="1:49" x14ac:dyDescent="0.2">
      <c r="A25" s="7">
        <v>23</v>
      </c>
      <c r="B25" s="7">
        <v>38.332140035927203</v>
      </c>
      <c r="C25" s="7">
        <f>-28.2177249714732</f>
        <v>-28.217724971473199</v>
      </c>
      <c r="D25" s="8">
        <v>42579</v>
      </c>
      <c r="E25" s="9">
        <v>0.70430555555555552</v>
      </c>
      <c r="F25" s="9">
        <v>0.7211574074074073</v>
      </c>
      <c r="G25" s="9">
        <f t="shared" si="0"/>
        <v>1.6851851851851785E-2</v>
      </c>
      <c r="H25" s="7" t="s">
        <v>60</v>
      </c>
      <c r="I25" s="7" t="s">
        <v>8</v>
      </c>
      <c r="J25" s="7" t="s">
        <v>62</v>
      </c>
      <c r="K25" s="7"/>
      <c r="L25" s="7">
        <v>1</v>
      </c>
      <c r="M25" s="7"/>
      <c r="N25" s="7"/>
      <c r="O25" s="7"/>
      <c r="P25" s="7"/>
      <c r="Q25" s="7"/>
      <c r="R25" s="7"/>
      <c r="S25" s="7"/>
      <c r="T25" s="7"/>
      <c r="U25" s="7">
        <v>1</v>
      </c>
      <c r="V25" s="7"/>
      <c r="W25" s="7"/>
      <c r="X25" s="7"/>
      <c r="Y25" s="7"/>
      <c r="Z25" s="7">
        <v>1</v>
      </c>
      <c r="AA25" s="7"/>
      <c r="AB25" s="7">
        <v>8</v>
      </c>
      <c r="AC25" s="7">
        <v>7</v>
      </c>
      <c r="AD25" s="7">
        <v>1</v>
      </c>
      <c r="AE25" s="7"/>
      <c r="AF25" s="7"/>
      <c r="AG25" s="7"/>
      <c r="AH25" s="7"/>
      <c r="AI25" s="7">
        <v>1</v>
      </c>
      <c r="AJ25" s="7"/>
      <c r="AK25" s="7"/>
      <c r="AL25" s="7"/>
      <c r="AM25" s="7"/>
      <c r="AN25" s="7">
        <v>1</v>
      </c>
      <c r="AO25" s="7"/>
      <c r="AP25" s="7"/>
      <c r="AQ25" s="7"/>
      <c r="AR25" s="7"/>
      <c r="AS25" s="7">
        <v>3</v>
      </c>
      <c r="AT25" s="7"/>
      <c r="AU25" s="7"/>
      <c r="AV25" s="7"/>
      <c r="AW25" s="7"/>
    </row>
    <row r="26" spans="1:49" x14ac:dyDescent="0.2">
      <c r="A26" s="7">
        <v>24</v>
      </c>
      <c r="B26" s="7">
        <v>38.339981976896503</v>
      </c>
      <c r="C26" s="7">
        <f>-27.9920169990509</f>
        <v>-27.9920169990509</v>
      </c>
      <c r="D26" s="8">
        <v>42580</v>
      </c>
      <c r="E26" s="9">
        <v>0.48986111111111108</v>
      </c>
      <c r="F26" s="9">
        <v>0.4993055555555555</v>
      </c>
      <c r="G26" s="9">
        <f t="shared" si="0"/>
        <v>9.444444444444422E-3</v>
      </c>
      <c r="H26" s="7" t="s">
        <v>63</v>
      </c>
      <c r="I26" s="7" t="s">
        <v>8</v>
      </c>
      <c r="J26" s="7" t="s">
        <v>65</v>
      </c>
      <c r="K26" s="7"/>
      <c r="L26" s="7">
        <v>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>
        <v>1</v>
      </c>
      <c r="AA26" s="7"/>
      <c r="AB26" s="7">
        <v>3</v>
      </c>
      <c r="AC26" s="7">
        <v>3</v>
      </c>
      <c r="AD26" s="7"/>
      <c r="AE26" s="7"/>
      <c r="AF26" s="7"/>
      <c r="AG26" s="7"/>
      <c r="AH26" s="7"/>
      <c r="AI26" s="7"/>
      <c r="AJ26" s="7">
        <v>1</v>
      </c>
      <c r="AK26" s="7"/>
      <c r="AL26" s="7"/>
      <c r="AM26" s="7">
        <v>1</v>
      </c>
      <c r="AN26" s="7"/>
      <c r="AO26" s="7"/>
      <c r="AP26" s="7"/>
      <c r="AQ26" s="7"/>
      <c r="AR26" s="7"/>
      <c r="AS26" s="7">
        <v>2</v>
      </c>
      <c r="AT26" s="7"/>
      <c r="AU26" s="7"/>
      <c r="AV26" s="7"/>
      <c r="AW26" s="7"/>
    </row>
    <row r="27" spans="1:49" x14ac:dyDescent="0.2">
      <c r="A27" s="7">
        <v>25</v>
      </c>
      <c r="B27" s="7">
        <v>38.318244013935299</v>
      </c>
      <c r="C27" s="7">
        <f>-28.0006380379199</f>
        <v>-28.000638037919899</v>
      </c>
      <c r="D27" s="8">
        <v>42582</v>
      </c>
      <c r="E27" s="9">
        <v>0.46512731481481479</v>
      </c>
      <c r="F27" s="9">
        <v>0.47693287037037035</v>
      </c>
      <c r="G27" s="9">
        <f t="shared" si="0"/>
        <v>1.1805555555555569E-2</v>
      </c>
      <c r="H27" s="7" t="s">
        <v>66</v>
      </c>
      <c r="I27" s="7" t="s">
        <v>8</v>
      </c>
      <c r="J27" s="7" t="s">
        <v>68</v>
      </c>
      <c r="K27" s="7"/>
      <c r="L27" s="7">
        <v>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>
        <v>1</v>
      </c>
      <c r="AA27" s="7"/>
      <c r="AB27" s="7">
        <v>12</v>
      </c>
      <c r="AC27" s="7">
        <v>12</v>
      </c>
      <c r="AD27" s="7"/>
      <c r="AE27" s="7"/>
      <c r="AF27" s="7"/>
      <c r="AG27" s="7"/>
      <c r="AH27" s="7">
        <v>1</v>
      </c>
      <c r="AI27" s="7"/>
      <c r="AJ27" s="7"/>
      <c r="AK27" s="7"/>
      <c r="AL27" s="7">
        <v>1</v>
      </c>
      <c r="AM27" s="7"/>
      <c r="AN27" s="7"/>
      <c r="AO27" s="7"/>
      <c r="AP27" s="7"/>
      <c r="AQ27" s="7"/>
      <c r="AR27" s="7"/>
      <c r="AS27" s="7">
        <v>1</v>
      </c>
      <c r="AT27" s="7"/>
      <c r="AU27" s="7"/>
      <c r="AV27" s="7"/>
      <c r="AW27" s="7"/>
    </row>
    <row r="28" spans="1:49" x14ac:dyDescent="0.2">
      <c r="A28" s="7">
        <v>26</v>
      </c>
      <c r="B28" s="7">
        <v>38.327217008918502</v>
      </c>
      <c r="C28" s="7">
        <f>-28.1983569916337</f>
        <v>-28.198356991633698</v>
      </c>
      <c r="D28" s="8">
        <v>42582</v>
      </c>
      <c r="E28" s="9">
        <v>0.74626157407407412</v>
      </c>
      <c r="F28" s="9"/>
      <c r="G28" s="9">
        <v>6.9444444444444447E-4</v>
      </c>
      <c r="H28" s="7" t="s">
        <v>69</v>
      </c>
      <c r="I28" s="7" t="s">
        <v>70</v>
      </c>
      <c r="J28" s="7" t="s">
        <v>70</v>
      </c>
      <c r="K28" s="7"/>
      <c r="L28" s="7">
        <v>1</v>
      </c>
      <c r="M28" s="7">
        <v>1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>
        <v>12</v>
      </c>
      <c r="AC28" s="7">
        <v>12</v>
      </c>
      <c r="AD28" s="7"/>
      <c r="AE28" s="7"/>
      <c r="AF28" s="7"/>
      <c r="AG28" s="7"/>
      <c r="AH28" s="7"/>
      <c r="AI28" s="7">
        <v>1</v>
      </c>
      <c r="AJ28" s="7"/>
      <c r="AK28" s="7"/>
      <c r="AL28" s="7"/>
      <c r="AM28" s="7">
        <v>1</v>
      </c>
      <c r="AN28" s="7"/>
      <c r="AO28" s="7"/>
      <c r="AP28" s="7"/>
      <c r="AQ28" s="7"/>
      <c r="AR28" s="7"/>
      <c r="AS28" s="7">
        <v>1</v>
      </c>
      <c r="AT28" s="7"/>
      <c r="AU28" s="7"/>
      <c r="AV28" s="7"/>
      <c r="AW28" s="7"/>
    </row>
    <row r="29" spans="1:49" x14ac:dyDescent="0.2">
      <c r="A29" s="7">
        <v>27</v>
      </c>
      <c r="B29" s="7">
        <v>38.332765996456097</v>
      </c>
      <c r="C29" s="7">
        <f>-28.1885039806365</f>
        <v>-28.188503980636501</v>
      </c>
      <c r="D29" s="8">
        <v>42583</v>
      </c>
      <c r="E29" s="9">
        <v>0.62596064814814811</v>
      </c>
      <c r="F29" s="9">
        <v>0.64420138888888889</v>
      </c>
      <c r="G29" s="9">
        <f t="shared" si="0"/>
        <v>1.824074074074078E-2</v>
      </c>
      <c r="H29" s="7" t="s">
        <v>71</v>
      </c>
      <c r="I29" s="7" t="s">
        <v>8</v>
      </c>
      <c r="J29" s="7" t="s">
        <v>73</v>
      </c>
      <c r="K29" s="7"/>
      <c r="L29" s="7">
        <v>1</v>
      </c>
      <c r="M29" s="7"/>
      <c r="N29" s="7">
        <v>1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>
        <v>1</v>
      </c>
      <c r="AA29" s="7"/>
      <c r="AB29" s="7">
        <v>4</v>
      </c>
      <c r="AC29" s="7">
        <v>4</v>
      </c>
      <c r="AD29" s="7"/>
      <c r="AE29" s="7"/>
      <c r="AF29" s="7"/>
      <c r="AG29" s="7"/>
      <c r="AH29" s="7"/>
      <c r="AI29" s="7">
        <v>1</v>
      </c>
      <c r="AJ29" s="7"/>
      <c r="AK29" s="7"/>
      <c r="AL29" s="7"/>
      <c r="AM29" s="7">
        <v>1</v>
      </c>
      <c r="AN29" s="7"/>
      <c r="AO29" s="7"/>
      <c r="AP29" s="7"/>
      <c r="AQ29" s="7"/>
      <c r="AR29" s="7"/>
      <c r="AS29" s="7">
        <v>1</v>
      </c>
      <c r="AT29" s="7"/>
      <c r="AU29" s="7"/>
      <c r="AV29" s="7"/>
      <c r="AW29" s="7"/>
    </row>
    <row r="30" spans="1:49" x14ac:dyDescent="0.2">
      <c r="A30" s="7">
        <v>28</v>
      </c>
      <c r="B30" s="7">
        <v>38.313891962170601</v>
      </c>
      <c r="C30" s="7">
        <f>-28.2533459644764</f>
        <v>-28.253345964476399</v>
      </c>
      <c r="D30" s="8">
        <v>42584</v>
      </c>
      <c r="E30" s="9">
        <v>0.42269675925925926</v>
      </c>
      <c r="F30" s="9">
        <v>0.42952546296296296</v>
      </c>
      <c r="G30" s="9">
        <f t="shared" si="0"/>
        <v>6.8287037037036979E-3</v>
      </c>
      <c r="H30" s="7" t="s">
        <v>74</v>
      </c>
      <c r="I30" s="7" t="s">
        <v>8</v>
      </c>
      <c r="J30" s="7" t="s">
        <v>76</v>
      </c>
      <c r="K30" s="7"/>
      <c r="L30" s="7"/>
      <c r="M30" s="7"/>
      <c r="N30" s="7">
        <v>1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>
        <v>1</v>
      </c>
      <c r="AA30" s="7"/>
      <c r="AB30" s="7">
        <v>5</v>
      </c>
      <c r="AC30" s="7">
        <v>5</v>
      </c>
      <c r="AD30" s="7"/>
      <c r="AE30" s="7"/>
      <c r="AF30" s="7"/>
      <c r="AG30" s="7"/>
      <c r="AH30" s="7"/>
      <c r="AI30" s="7">
        <v>1</v>
      </c>
      <c r="AJ30" s="7"/>
      <c r="AK30" s="7"/>
      <c r="AL30" s="7"/>
      <c r="AM30" s="7"/>
      <c r="AN30" s="7">
        <v>1</v>
      </c>
      <c r="AO30" s="7"/>
      <c r="AP30" s="7"/>
      <c r="AQ30" s="7"/>
      <c r="AR30" s="7"/>
      <c r="AS30" s="7">
        <v>1</v>
      </c>
      <c r="AT30" s="7"/>
      <c r="AU30" s="7"/>
      <c r="AV30" s="7"/>
      <c r="AW30" s="7"/>
    </row>
    <row r="31" spans="1:49" x14ac:dyDescent="0.2">
      <c r="A31" s="7">
        <v>29</v>
      </c>
      <c r="B31" s="7">
        <v>38.2812069822102</v>
      </c>
      <c r="C31" s="7">
        <f>-28.2500210311263</f>
        <v>-28.250021031126298</v>
      </c>
      <c r="D31" s="8">
        <v>42605</v>
      </c>
      <c r="E31" s="9">
        <v>0.63714120370370375</v>
      </c>
      <c r="F31" s="9">
        <v>0.64197916666666666</v>
      </c>
      <c r="G31" s="9">
        <f t="shared" si="0"/>
        <v>4.8379629629629051E-3</v>
      </c>
      <c r="H31" s="7" t="s">
        <v>77</v>
      </c>
      <c r="I31" s="7" t="s">
        <v>8</v>
      </c>
      <c r="J31" s="7" t="s">
        <v>79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>
        <v>1</v>
      </c>
      <c r="AB31" s="7">
        <v>2</v>
      </c>
      <c r="AC31" s="7">
        <v>2</v>
      </c>
      <c r="AD31" s="7"/>
      <c r="AE31" s="7"/>
      <c r="AF31" s="7"/>
      <c r="AG31" s="7"/>
      <c r="AH31" s="7"/>
      <c r="AI31" s="7">
        <v>1</v>
      </c>
      <c r="AJ31" s="7"/>
      <c r="AK31" s="7"/>
      <c r="AL31" s="7"/>
      <c r="AM31" s="7">
        <v>1</v>
      </c>
      <c r="AN31" s="7"/>
      <c r="AO31" s="7"/>
      <c r="AP31" s="7"/>
      <c r="AQ31" s="7"/>
      <c r="AR31" s="7"/>
      <c r="AS31" s="7">
        <v>1</v>
      </c>
      <c r="AT31" s="7"/>
      <c r="AU31" s="7"/>
      <c r="AV31" s="7"/>
      <c r="AW31" s="7"/>
    </row>
    <row r="32" spans="1:49" x14ac:dyDescent="0.2">
      <c r="A32" s="7">
        <v>30</v>
      </c>
      <c r="B32" s="7">
        <v>38.345240028574999</v>
      </c>
      <c r="C32" s="7">
        <f>-28.1429559644311</f>
        <v>-28.142955964431099</v>
      </c>
      <c r="D32" s="8">
        <v>42939</v>
      </c>
      <c r="E32" s="9">
        <v>0.40931712962962963</v>
      </c>
      <c r="F32" s="9">
        <v>0.44202546296296297</v>
      </c>
      <c r="G32" s="9">
        <f t="shared" si="0"/>
        <v>3.2708333333333339E-2</v>
      </c>
      <c r="H32" s="7" t="s">
        <v>80</v>
      </c>
      <c r="I32" s="7" t="s">
        <v>8</v>
      </c>
      <c r="J32" s="7" t="s">
        <v>82</v>
      </c>
      <c r="K32" s="7">
        <v>1</v>
      </c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>
        <v>1</v>
      </c>
      <c r="AA32" s="7"/>
      <c r="AB32" s="7">
        <v>10</v>
      </c>
      <c r="AC32" s="7">
        <v>7</v>
      </c>
      <c r="AD32" s="7">
        <v>3</v>
      </c>
      <c r="AE32" s="7"/>
      <c r="AF32" s="7"/>
      <c r="AG32" s="7"/>
      <c r="AH32" s="7"/>
      <c r="AI32" s="7">
        <v>1</v>
      </c>
      <c r="AJ32" s="7"/>
      <c r="AK32" s="7"/>
      <c r="AL32" s="7"/>
      <c r="AM32" s="7"/>
      <c r="AN32" s="7">
        <v>1</v>
      </c>
      <c r="AO32" s="7"/>
      <c r="AP32" s="7"/>
      <c r="AQ32" s="7"/>
      <c r="AR32" s="7"/>
      <c r="AS32" s="7">
        <v>1</v>
      </c>
      <c r="AT32" s="7"/>
      <c r="AU32" s="7"/>
      <c r="AV32" s="7"/>
      <c r="AW32" s="7"/>
    </row>
    <row r="33" spans="1:49" x14ac:dyDescent="0.2">
      <c r="A33" s="7">
        <v>31</v>
      </c>
      <c r="B33" s="7">
        <v>38.34253099747</v>
      </c>
      <c r="C33" s="7">
        <f>-28.4273860417306</f>
        <v>-28.4273860417306</v>
      </c>
      <c r="D33" s="8">
        <v>43305</v>
      </c>
      <c r="E33" s="9">
        <v>0.44498842592592597</v>
      </c>
      <c r="F33" s="9">
        <v>0.4480555555555556</v>
      </c>
      <c r="G33" s="9">
        <f t="shared" si="0"/>
        <v>3.067129629629628E-3</v>
      </c>
      <c r="H33" s="7" t="s">
        <v>83</v>
      </c>
      <c r="I33" s="7" t="s">
        <v>8</v>
      </c>
      <c r="J33" s="7" t="s">
        <v>85</v>
      </c>
      <c r="K33" s="7"/>
      <c r="L33" s="7"/>
      <c r="M33" s="7"/>
      <c r="N33" s="7">
        <v>1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>
        <v>1</v>
      </c>
      <c r="AA33" s="7"/>
      <c r="AB33" s="7">
        <v>4</v>
      </c>
      <c r="AC33" s="7">
        <v>4</v>
      </c>
      <c r="AD33" s="7"/>
      <c r="AE33" s="7"/>
      <c r="AF33" s="7"/>
      <c r="AG33" s="7"/>
      <c r="AH33" s="7"/>
      <c r="AI33" s="7"/>
      <c r="AJ33" s="7">
        <v>1</v>
      </c>
      <c r="AK33" s="7"/>
      <c r="AL33" s="7"/>
      <c r="AM33" s="7">
        <v>1</v>
      </c>
      <c r="AN33" s="7"/>
      <c r="AO33" s="7"/>
      <c r="AP33" s="7"/>
      <c r="AQ33" s="7"/>
      <c r="AR33" s="7"/>
      <c r="AS33" s="7">
        <v>1</v>
      </c>
      <c r="AT33" s="7"/>
      <c r="AU33" s="7"/>
      <c r="AV33" s="7"/>
      <c r="AW33" s="7"/>
    </row>
    <row r="34" spans="1:49" x14ac:dyDescent="0.2">
      <c r="A34" s="7">
        <v>32</v>
      </c>
      <c r="B34" s="7">
        <v>38.303021974861601</v>
      </c>
      <c r="C34" s="7">
        <f>-28.2025350350886</f>
        <v>-28.202535035088601</v>
      </c>
      <c r="D34" s="8">
        <v>43305</v>
      </c>
      <c r="E34" s="9">
        <v>0.65074074074074073</v>
      </c>
      <c r="F34" s="9">
        <v>0.65557870370370364</v>
      </c>
      <c r="G34" s="9">
        <f t="shared" si="0"/>
        <v>4.8379629629629051E-3</v>
      </c>
      <c r="H34" s="7" t="s">
        <v>86</v>
      </c>
      <c r="I34" s="7" t="s">
        <v>8</v>
      </c>
      <c r="J34" s="7" t="s">
        <v>88</v>
      </c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>
        <v>5</v>
      </c>
      <c r="AC34" s="7">
        <v>5</v>
      </c>
      <c r="AD34" s="7"/>
      <c r="AE34" s="7"/>
      <c r="AF34" s="7"/>
      <c r="AG34" s="7"/>
      <c r="AH34" s="7"/>
      <c r="AI34" s="7"/>
      <c r="AJ34" s="7">
        <v>1</v>
      </c>
      <c r="AK34" s="7"/>
      <c r="AL34" s="7"/>
      <c r="AM34" s="7">
        <v>1</v>
      </c>
      <c r="AN34" s="7"/>
      <c r="AO34" s="7"/>
      <c r="AP34" s="7"/>
      <c r="AQ34" s="7"/>
      <c r="AR34" s="7"/>
      <c r="AS34" s="7">
        <v>2</v>
      </c>
      <c r="AT34" s="7"/>
      <c r="AU34" s="7"/>
      <c r="AV34" s="7"/>
      <c r="AW34" s="7"/>
    </row>
  </sheetData>
  <mergeCells count="4">
    <mergeCell ref="K1:AA1"/>
    <mergeCell ref="AB1:AG1"/>
    <mergeCell ref="AH1:AK1"/>
    <mergeCell ref="AL1:A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8444-55E1-374C-9582-21EB983E0243}">
  <dimension ref="A1:I33"/>
  <sheetViews>
    <sheetView topLeftCell="A28" zoomScale="123" workbookViewId="0">
      <selection activeCell="H33" activeCellId="1" sqref="A1:D33 H1:H33"/>
    </sheetView>
  </sheetViews>
  <sheetFormatPr baseColWidth="10" defaultRowHeight="16" x14ac:dyDescent="0.2"/>
  <cols>
    <col min="9" max="9" width="16.83203125" bestFit="1" customWidth="1"/>
  </cols>
  <sheetData>
    <row r="1" spans="1:9" x14ac:dyDescent="0.2">
      <c r="A1" s="10" t="s">
        <v>89</v>
      </c>
      <c r="B1" s="7" t="s">
        <v>0</v>
      </c>
      <c r="C1" s="7" t="s">
        <v>1</v>
      </c>
      <c r="D1" s="7" t="s">
        <v>90</v>
      </c>
      <c r="E1" s="15" t="s">
        <v>161</v>
      </c>
      <c r="F1" s="7" t="s">
        <v>162</v>
      </c>
      <c r="G1" s="7" t="s">
        <v>163</v>
      </c>
      <c r="H1" s="7" t="s">
        <v>164</v>
      </c>
      <c r="I1" s="6" t="s">
        <v>2</v>
      </c>
    </row>
    <row r="2" spans="1:9" x14ac:dyDescent="0.2">
      <c r="A2" s="10">
        <v>1</v>
      </c>
      <c r="B2" s="7">
        <v>38.287288974970501</v>
      </c>
      <c r="C2" s="7">
        <f>-28.266834039241</f>
        <v>-28.266834039241001</v>
      </c>
      <c r="D2" s="8">
        <v>41105</v>
      </c>
      <c r="E2" s="15" t="s">
        <v>131</v>
      </c>
      <c r="F2" s="15" t="s">
        <v>132</v>
      </c>
      <c r="G2" s="15" t="s">
        <v>133</v>
      </c>
      <c r="H2" s="9">
        <v>0.43751157407407404</v>
      </c>
      <c r="I2" s="6" t="s">
        <v>3</v>
      </c>
    </row>
    <row r="3" spans="1:9" x14ac:dyDescent="0.2">
      <c r="A3" s="10">
        <v>2</v>
      </c>
      <c r="B3" s="7">
        <v>38.351341970264897</v>
      </c>
      <c r="C3" s="7">
        <f>-28.1220629811286</f>
        <v>-28.1220629811286</v>
      </c>
      <c r="D3" s="8">
        <v>41109</v>
      </c>
      <c r="E3" s="15" t="s">
        <v>134</v>
      </c>
      <c r="F3" s="15" t="s">
        <v>132</v>
      </c>
      <c r="G3" s="15" t="s">
        <v>133</v>
      </c>
      <c r="H3" s="9">
        <v>0.65878472222222217</v>
      </c>
      <c r="I3" s="6" t="s">
        <v>5</v>
      </c>
    </row>
    <row r="4" spans="1:9" x14ac:dyDescent="0.2">
      <c r="A4" s="10">
        <v>3</v>
      </c>
      <c r="B4" s="7">
        <v>38.3250389713793</v>
      </c>
      <c r="C4" s="7">
        <f>-28.0875939968973</f>
        <v>-28.087593996897301</v>
      </c>
      <c r="D4" s="8">
        <v>41111</v>
      </c>
      <c r="E4" s="15" t="s">
        <v>135</v>
      </c>
      <c r="F4" s="15" t="s">
        <v>132</v>
      </c>
      <c r="G4" s="15" t="s">
        <v>133</v>
      </c>
      <c r="H4" s="9">
        <v>0.70196759259259256</v>
      </c>
      <c r="I4" s="6" t="s">
        <v>7</v>
      </c>
    </row>
    <row r="5" spans="1:9" x14ac:dyDescent="0.2">
      <c r="A5" s="10">
        <v>4</v>
      </c>
      <c r="B5" s="7">
        <v>38.2529520057141</v>
      </c>
      <c r="C5" s="7">
        <f>-28.2271830271929</f>
        <v>-28.227183027192901</v>
      </c>
      <c r="D5" s="8">
        <v>41116</v>
      </c>
      <c r="E5" s="15" t="s">
        <v>136</v>
      </c>
      <c r="F5" s="15" t="s">
        <v>132</v>
      </c>
      <c r="G5" s="15" t="s">
        <v>133</v>
      </c>
      <c r="H5" s="9">
        <v>0.49541666666666667</v>
      </c>
      <c r="I5" s="6" t="s">
        <v>11</v>
      </c>
    </row>
    <row r="6" spans="1:9" x14ac:dyDescent="0.2">
      <c r="A6" s="10">
        <v>5</v>
      </c>
      <c r="B6" s="7">
        <v>38.327221032232003</v>
      </c>
      <c r="C6" s="7">
        <f>-28.296507988125</f>
        <v>-28.296507988125001</v>
      </c>
      <c r="D6" s="8">
        <v>41834</v>
      </c>
      <c r="E6" s="15" t="s">
        <v>137</v>
      </c>
      <c r="F6" s="15" t="s">
        <v>132</v>
      </c>
      <c r="G6" s="15" t="s">
        <v>138</v>
      </c>
      <c r="H6" s="9">
        <v>0.44165509259259261</v>
      </c>
      <c r="I6" s="6" t="s">
        <v>13</v>
      </c>
    </row>
    <row r="7" spans="1:9" x14ac:dyDescent="0.2">
      <c r="A7" s="10">
        <v>6</v>
      </c>
      <c r="B7" s="7">
        <v>38.306504990905502</v>
      </c>
      <c r="C7" s="7">
        <f>-28.2474699988961</f>
        <v>-28.247469998896101</v>
      </c>
      <c r="D7" s="8">
        <v>42198</v>
      </c>
      <c r="E7" s="15" t="s">
        <v>139</v>
      </c>
      <c r="F7" s="15" t="s">
        <v>132</v>
      </c>
      <c r="G7" s="15" t="s">
        <v>140</v>
      </c>
      <c r="H7" s="9">
        <v>0.44072916666666667</v>
      </c>
      <c r="I7" s="6" t="s">
        <v>16</v>
      </c>
    </row>
    <row r="8" spans="1:9" x14ac:dyDescent="0.2">
      <c r="A8" s="10">
        <v>7</v>
      </c>
      <c r="B8" s="7">
        <v>38.342226985841897</v>
      </c>
      <c r="C8" s="7">
        <f>-28.155828975141</f>
        <v>-28.155828975140999</v>
      </c>
      <c r="D8" s="8">
        <v>42200</v>
      </c>
      <c r="E8" s="15" t="s">
        <v>131</v>
      </c>
      <c r="F8" s="15" t="s">
        <v>132</v>
      </c>
      <c r="G8" s="15" t="s">
        <v>140</v>
      </c>
      <c r="H8" s="9">
        <v>0.4803587962962963</v>
      </c>
      <c r="I8" s="6" t="s">
        <v>19</v>
      </c>
    </row>
    <row r="9" spans="1:9" x14ac:dyDescent="0.2">
      <c r="A9" s="10">
        <v>8</v>
      </c>
      <c r="B9" s="7">
        <v>38.344968035817097</v>
      </c>
      <c r="C9" s="7">
        <f>-28.2946430146694</f>
        <v>-28.294643014669401</v>
      </c>
      <c r="D9" s="8">
        <v>42200</v>
      </c>
      <c r="E9" s="15" t="s">
        <v>131</v>
      </c>
      <c r="F9" s="15" t="s">
        <v>132</v>
      </c>
      <c r="G9" s="15" t="s">
        <v>140</v>
      </c>
      <c r="H9" s="9">
        <v>0.60612268518518519</v>
      </c>
      <c r="I9" s="6" t="s">
        <v>22</v>
      </c>
    </row>
    <row r="10" spans="1:9" x14ac:dyDescent="0.2">
      <c r="A10" s="10">
        <v>9</v>
      </c>
      <c r="B10" s="7">
        <v>38.234035978093701</v>
      </c>
      <c r="C10" s="7">
        <f>-28.3695449586957</f>
        <v>-28.369544958695698</v>
      </c>
      <c r="D10" s="8">
        <v>42202</v>
      </c>
      <c r="E10" s="15" t="s">
        <v>141</v>
      </c>
      <c r="F10" s="15" t="s">
        <v>132</v>
      </c>
      <c r="G10" s="15" t="s">
        <v>140</v>
      </c>
      <c r="H10" s="9">
        <v>0.68976851851851861</v>
      </c>
      <c r="I10" s="6" t="s">
        <v>25</v>
      </c>
    </row>
    <row r="11" spans="1:9" x14ac:dyDescent="0.2">
      <c r="A11" s="10">
        <v>10</v>
      </c>
      <c r="B11" s="7">
        <v>38.3244219794869</v>
      </c>
      <c r="C11" s="7">
        <f>-28.1983579974621</f>
        <v>-28.1983579974621</v>
      </c>
      <c r="D11" s="8">
        <v>42219</v>
      </c>
      <c r="E11" s="15" t="s">
        <v>142</v>
      </c>
      <c r="F11" s="15" t="s">
        <v>143</v>
      </c>
      <c r="G11" s="15" t="s">
        <v>140</v>
      </c>
      <c r="H11" s="9">
        <v>0.4924189814814815</v>
      </c>
      <c r="I11" s="6" t="s">
        <v>27</v>
      </c>
    </row>
    <row r="12" spans="1:9" x14ac:dyDescent="0.2">
      <c r="A12" s="10">
        <v>11</v>
      </c>
      <c r="B12" s="7">
        <v>38.353459993377299</v>
      </c>
      <c r="C12" s="7">
        <f>-28.1560660153627</f>
        <v>-28.1560660153627</v>
      </c>
      <c r="D12" s="8">
        <v>42220</v>
      </c>
      <c r="E12" s="15" t="s">
        <v>144</v>
      </c>
      <c r="F12" s="15" t="s">
        <v>143</v>
      </c>
      <c r="G12" s="15" t="s">
        <v>140</v>
      </c>
      <c r="H12" s="9">
        <v>0.68396990740740737</v>
      </c>
      <c r="I12" s="6" t="s">
        <v>30</v>
      </c>
    </row>
    <row r="13" spans="1:9" x14ac:dyDescent="0.2">
      <c r="A13" s="10">
        <v>12</v>
      </c>
      <c r="B13" s="7">
        <v>38.361295983195298</v>
      </c>
      <c r="C13" s="7">
        <f>-28.3957720175385</f>
        <v>-28.395772017538501</v>
      </c>
      <c r="D13" s="8">
        <v>42260</v>
      </c>
      <c r="E13" s="15" t="s">
        <v>139</v>
      </c>
      <c r="F13" s="15" t="s">
        <v>145</v>
      </c>
      <c r="G13" s="15" t="s">
        <v>140</v>
      </c>
      <c r="H13" s="9">
        <v>0.71265046296296297</v>
      </c>
      <c r="I13" s="6" t="s">
        <v>33</v>
      </c>
    </row>
    <row r="14" spans="1:9" x14ac:dyDescent="0.2">
      <c r="A14" s="10">
        <v>13</v>
      </c>
      <c r="B14" s="7">
        <v>38.3359249681234</v>
      </c>
      <c r="C14" s="7">
        <f>-28.2319970056414</f>
        <v>-28.2319970056414</v>
      </c>
      <c r="D14" s="8">
        <v>42276</v>
      </c>
      <c r="E14" s="15" t="s">
        <v>146</v>
      </c>
      <c r="F14" s="15" t="s">
        <v>145</v>
      </c>
      <c r="G14" s="15" t="s">
        <v>140</v>
      </c>
      <c r="H14" s="9">
        <v>0.4427314814814815</v>
      </c>
      <c r="I14" s="6" t="s">
        <v>35</v>
      </c>
    </row>
    <row r="15" spans="1:9" x14ac:dyDescent="0.2">
      <c r="A15" s="10">
        <v>14</v>
      </c>
      <c r="B15" s="7">
        <v>38.2982649933546</v>
      </c>
      <c r="C15" s="7">
        <f>-28.366850009188</f>
        <v>-28.366850009187999</v>
      </c>
      <c r="D15" s="8">
        <v>42283</v>
      </c>
      <c r="E15" s="15" t="s">
        <v>147</v>
      </c>
      <c r="F15" s="15" t="s">
        <v>148</v>
      </c>
      <c r="G15" s="15" t="s">
        <v>140</v>
      </c>
      <c r="H15" s="9">
        <v>0.49554398148148149</v>
      </c>
      <c r="I15" s="6" t="s">
        <v>38</v>
      </c>
    </row>
    <row r="16" spans="1:9" x14ac:dyDescent="0.2">
      <c r="A16" s="10">
        <v>15</v>
      </c>
      <c r="B16" s="7">
        <v>38.3263519965112</v>
      </c>
      <c r="C16" s="7">
        <f>-28.4677350148558</f>
        <v>-28.467735014855801</v>
      </c>
      <c r="D16" s="8">
        <v>42283</v>
      </c>
      <c r="E16" s="15" t="s">
        <v>147</v>
      </c>
      <c r="F16" s="15" t="s">
        <v>148</v>
      </c>
      <c r="G16" s="15" t="s">
        <v>140</v>
      </c>
      <c r="H16" s="9">
        <v>0.70339120370370367</v>
      </c>
      <c r="I16" s="6" t="s">
        <v>40</v>
      </c>
    </row>
    <row r="17" spans="1:9" x14ac:dyDescent="0.2">
      <c r="A17" s="10">
        <v>16</v>
      </c>
      <c r="B17" s="7">
        <v>38.343783002346697</v>
      </c>
      <c r="C17" s="7">
        <f>-28.1856849789619</f>
        <v>-28.185684978961898</v>
      </c>
      <c r="D17" s="8">
        <v>42563</v>
      </c>
      <c r="E17" s="15" t="s">
        <v>149</v>
      </c>
      <c r="F17" s="15" t="s">
        <v>132</v>
      </c>
      <c r="G17" s="15" t="s">
        <v>150</v>
      </c>
      <c r="H17" s="9">
        <v>0.66726851851851843</v>
      </c>
      <c r="I17" s="6" t="s">
        <v>42</v>
      </c>
    </row>
    <row r="18" spans="1:9" x14ac:dyDescent="0.2">
      <c r="A18" s="10">
        <v>17</v>
      </c>
      <c r="B18" s="7">
        <v>38.282967014238203</v>
      </c>
      <c r="C18" s="7">
        <f>-28.3136820048093</f>
        <v>-28.313682004809301</v>
      </c>
      <c r="D18" s="8">
        <v>42565</v>
      </c>
      <c r="E18" s="15" t="s">
        <v>137</v>
      </c>
      <c r="F18" s="15" t="s">
        <v>132</v>
      </c>
      <c r="G18" s="15" t="s">
        <v>150</v>
      </c>
      <c r="H18" s="9">
        <v>0.63680555555555551</v>
      </c>
      <c r="I18" s="6" t="s">
        <v>45</v>
      </c>
    </row>
    <row r="19" spans="1:9" x14ac:dyDescent="0.2">
      <c r="A19" s="10">
        <v>18</v>
      </c>
      <c r="B19" s="7">
        <v>38.333887998014603</v>
      </c>
      <c r="C19" s="7">
        <f>-28.0603060405701</f>
        <v>-28.060306040570101</v>
      </c>
      <c r="D19" s="8">
        <v>42573</v>
      </c>
      <c r="E19" s="15" t="s">
        <v>151</v>
      </c>
      <c r="F19" s="15" t="s">
        <v>132</v>
      </c>
      <c r="G19" s="15" t="s">
        <v>150</v>
      </c>
      <c r="H19" s="9">
        <v>0.6535185185185185</v>
      </c>
      <c r="I19" s="6" t="s">
        <v>47</v>
      </c>
    </row>
    <row r="20" spans="1:9" x14ac:dyDescent="0.2">
      <c r="A20" s="10">
        <v>19</v>
      </c>
      <c r="B20" s="7">
        <v>38.532039038836899</v>
      </c>
      <c r="C20" s="7">
        <f>-28.0053660180419</f>
        <v>-28.005366018041901</v>
      </c>
      <c r="D20" s="8">
        <v>42573</v>
      </c>
      <c r="E20" s="15" t="s">
        <v>151</v>
      </c>
      <c r="F20" s="15" t="s">
        <v>132</v>
      </c>
      <c r="G20" s="15" t="s">
        <v>150</v>
      </c>
      <c r="H20" s="9">
        <v>0.71666666666666667</v>
      </c>
      <c r="I20" s="6" t="s">
        <v>50</v>
      </c>
    </row>
    <row r="21" spans="1:9" x14ac:dyDescent="0.2">
      <c r="A21" s="10">
        <v>20</v>
      </c>
      <c r="B21" s="7">
        <v>38.272745031863401</v>
      </c>
      <c r="C21" s="7">
        <f>-28.3043690398335</f>
        <v>-28.304369039833499</v>
      </c>
      <c r="D21" s="8">
        <v>42576</v>
      </c>
      <c r="E21" s="15" t="s">
        <v>152</v>
      </c>
      <c r="F21" s="15" t="s">
        <v>132</v>
      </c>
      <c r="G21" s="15" t="s">
        <v>150</v>
      </c>
      <c r="H21" s="9">
        <v>0.49547453703703703</v>
      </c>
      <c r="I21" s="6" t="s">
        <v>53</v>
      </c>
    </row>
    <row r="22" spans="1:9" x14ac:dyDescent="0.2">
      <c r="A22" s="10">
        <v>21</v>
      </c>
      <c r="B22" s="7">
        <v>38.241176018491302</v>
      </c>
      <c r="C22" s="7">
        <f>-28.1568639725446</f>
        <v>-28.156863972544599</v>
      </c>
      <c r="D22" s="8">
        <v>42576</v>
      </c>
      <c r="E22" s="15" t="s">
        <v>152</v>
      </c>
      <c r="F22" s="15" t="s">
        <v>132</v>
      </c>
      <c r="G22" s="15" t="s">
        <v>150</v>
      </c>
      <c r="H22" s="9">
        <v>0.68377314814814805</v>
      </c>
      <c r="I22" s="6" t="s">
        <v>55</v>
      </c>
    </row>
    <row r="23" spans="1:9" x14ac:dyDescent="0.2">
      <c r="A23" s="10">
        <v>22</v>
      </c>
      <c r="B23" s="7">
        <v>38.287871014326797</v>
      </c>
      <c r="C23" s="7">
        <f>-28.1986439879983</f>
        <v>-28.198643987998299</v>
      </c>
      <c r="D23" s="8">
        <v>42579</v>
      </c>
      <c r="E23" s="15" t="s">
        <v>153</v>
      </c>
      <c r="F23" s="15" t="s">
        <v>132</v>
      </c>
      <c r="G23" s="15" t="s">
        <v>150</v>
      </c>
      <c r="H23" s="9">
        <v>0.43189814814814814</v>
      </c>
      <c r="I23" s="6" t="s">
        <v>58</v>
      </c>
    </row>
    <row r="24" spans="1:9" x14ac:dyDescent="0.2">
      <c r="A24" s="10">
        <v>23</v>
      </c>
      <c r="B24" s="7">
        <v>38.332140035927203</v>
      </c>
      <c r="C24" s="7">
        <f>-28.2177249714732</f>
        <v>-28.217724971473199</v>
      </c>
      <c r="D24" s="8">
        <v>42579</v>
      </c>
      <c r="E24" s="15" t="s">
        <v>153</v>
      </c>
      <c r="F24" s="15" t="s">
        <v>132</v>
      </c>
      <c r="G24" s="15" t="s">
        <v>150</v>
      </c>
      <c r="H24" s="9">
        <v>0.70430555555555552</v>
      </c>
      <c r="I24" s="6" t="s">
        <v>60</v>
      </c>
    </row>
    <row r="25" spans="1:9" x14ac:dyDescent="0.2">
      <c r="A25" s="10">
        <v>24</v>
      </c>
      <c r="B25" s="7">
        <v>38.339981976896503</v>
      </c>
      <c r="C25" s="7">
        <f>-27.9920169990509</f>
        <v>-27.9920169990509</v>
      </c>
      <c r="D25" s="8">
        <v>42580</v>
      </c>
      <c r="E25" s="15" t="s">
        <v>146</v>
      </c>
      <c r="F25" s="15" t="s">
        <v>132</v>
      </c>
      <c r="G25" s="15" t="s">
        <v>150</v>
      </c>
      <c r="H25" s="9">
        <v>0.48986111111111108</v>
      </c>
      <c r="I25" s="6" t="s">
        <v>63</v>
      </c>
    </row>
    <row r="26" spans="1:9" x14ac:dyDescent="0.2">
      <c r="A26" s="10">
        <v>25</v>
      </c>
      <c r="B26" s="7">
        <v>38.318244013935299</v>
      </c>
      <c r="C26" s="7">
        <f>-28.0006380379199</f>
        <v>-28.000638037919899</v>
      </c>
      <c r="D26" s="8">
        <v>42582</v>
      </c>
      <c r="E26" s="15" t="s">
        <v>154</v>
      </c>
      <c r="F26" s="15" t="s">
        <v>132</v>
      </c>
      <c r="G26" s="15" t="s">
        <v>150</v>
      </c>
      <c r="H26" s="9">
        <v>0.46512731481481479</v>
      </c>
      <c r="I26" s="6" t="s">
        <v>66</v>
      </c>
    </row>
    <row r="27" spans="1:9" x14ac:dyDescent="0.2">
      <c r="A27" s="10">
        <v>26</v>
      </c>
      <c r="B27" s="7">
        <v>38.327217008918502</v>
      </c>
      <c r="C27" s="7">
        <f>-28.1983569916337</f>
        <v>-28.198356991633698</v>
      </c>
      <c r="D27" s="8">
        <v>42582</v>
      </c>
      <c r="E27" s="15" t="s">
        <v>154</v>
      </c>
      <c r="F27" s="15" t="s">
        <v>132</v>
      </c>
      <c r="G27" s="15" t="s">
        <v>150</v>
      </c>
      <c r="H27" s="9">
        <v>0.74626157407407412</v>
      </c>
      <c r="I27" s="6" t="s">
        <v>69</v>
      </c>
    </row>
    <row r="28" spans="1:9" x14ac:dyDescent="0.2">
      <c r="A28" s="10">
        <v>27</v>
      </c>
      <c r="B28" s="7">
        <v>38.332765996456097</v>
      </c>
      <c r="C28" s="7">
        <f>-28.1885039806365</f>
        <v>-28.188503980636501</v>
      </c>
      <c r="D28" s="8">
        <v>42583</v>
      </c>
      <c r="E28" s="15" t="s">
        <v>155</v>
      </c>
      <c r="F28" s="15" t="s">
        <v>143</v>
      </c>
      <c r="G28" s="15" t="s">
        <v>150</v>
      </c>
      <c r="H28" s="9">
        <v>0.62596064814814811</v>
      </c>
      <c r="I28" s="6" t="s">
        <v>71</v>
      </c>
    </row>
    <row r="29" spans="1:9" x14ac:dyDescent="0.2">
      <c r="A29" s="10">
        <v>28</v>
      </c>
      <c r="B29" s="7">
        <v>38.313891962170601</v>
      </c>
      <c r="C29" s="7">
        <f>-28.2533459644764</f>
        <v>-28.253345964476399</v>
      </c>
      <c r="D29" s="8">
        <v>42584</v>
      </c>
      <c r="E29" s="15" t="s">
        <v>156</v>
      </c>
      <c r="F29" s="15" t="s">
        <v>143</v>
      </c>
      <c r="G29" s="15" t="s">
        <v>150</v>
      </c>
      <c r="H29" s="9">
        <v>0.42269675925925926</v>
      </c>
      <c r="I29" s="6" t="s">
        <v>74</v>
      </c>
    </row>
    <row r="30" spans="1:9" x14ac:dyDescent="0.2">
      <c r="A30" s="10">
        <v>29</v>
      </c>
      <c r="B30" s="7">
        <v>38.2812069822102</v>
      </c>
      <c r="C30" s="7">
        <f>-28.2500210311263</f>
        <v>-28.250021031126298</v>
      </c>
      <c r="D30" s="8">
        <v>42605</v>
      </c>
      <c r="E30" s="15" t="s">
        <v>157</v>
      </c>
      <c r="F30" s="15" t="s">
        <v>143</v>
      </c>
      <c r="G30" s="15" t="s">
        <v>150</v>
      </c>
      <c r="H30" s="9">
        <v>0.63714120370370375</v>
      </c>
      <c r="I30" s="6" t="s">
        <v>77</v>
      </c>
    </row>
    <row r="31" spans="1:9" x14ac:dyDescent="0.2">
      <c r="A31" s="10">
        <v>30</v>
      </c>
      <c r="B31" s="7">
        <v>38.345240028574999</v>
      </c>
      <c r="C31" s="7">
        <f>-28.1429559644311</f>
        <v>-28.142955964431099</v>
      </c>
      <c r="D31" s="8">
        <v>42939</v>
      </c>
      <c r="E31" s="15" t="s">
        <v>157</v>
      </c>
      <c r="F31" s="15" t="s">
        <v>132</v>
      </c>
      <c r="G31" s="15" t="s">
        <v>158</v>
      </c>
      <c r="H31" s="9">
        <v>0.40931712962962963</v>
      </c>
      <c r="I31" s="6" t="s">
        <v>80</v>
      </c>
    </row>
    <row r="32" spans="1:9" x14ac:dyDescent="0.2">
      <c r="A32" s="10">
        <v>31</v>
      </c>
      <c r="B32" s="7">
        <v>38.34253099747</v>
      </c>
      <c r="C32" s="7">
        <f>-28.4273860417306</f>
        <v>-28.4273860417306</v>
      </c>
      <c r="D32" s="8">
        <v>43305</v>
      </c>
      <c r="E32" s="15" t="s">
        <v>159</v>
      </c>
      <c r="F32" s="15" t="s">
        <v>132</v>
      </c>
      <c r="G32" s="15" t="s">
        <v>160</v>
      </c>
      <c r="H32" s="9">
        <v>0.44498842592592597</v>
      </c>
      <c r="I32" s="6" t="s">
        <v>83</v>
      </c>
    </row>
    <row r="33" spans="1:9" ht="17" thickBot="1" x14ac:dyDescent="0.25">
      <c r="A33" s="10">
        <v>32</v>
      </c>
      <c r="B33" s="11">
        <v>38.303021974861601</v>
      </c>
      <c r="C33" s="11">
        <f>-28.2025350350886</f>
        <v>-28.202535035088601</v>
      </c>
      <c r="D33" s="12">
        <v>43305</v>
      </c>
      <c r="E33" s="16" t="s">
        <v>159</v>
      </c>
      <c r="F33" s="16" t="s">
        <v>132</v>
      </c>
      <c r="G33" s="16" t="s">
        <v>160</v>
      </c>
      <c r="H33" s="13">
        <v>0.65074074074074073</v>
      </c>
      <c r="I33" s="14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2876-DCE6-6041-BA89-3876BDA823D6}">
  <dimension ref="A1:AZ34"/>
  <sheetViews>
    <sheetView tabSelected="1" zoomScale="123" workbookViewId="0">
      <selection activeCell="BA20" sqref="BA1:CM1048576"/>
    </sheetView>
  </sheetViews>
  <sheetFormatPr baseColWidth="10" defaultRowHeight="16" x14ac:dyDescent="0.2"/>
  <cols>
    <col min="11" max="11" width="16.33203125" bestFit="1" customWidth="1"/>
    <col min="12" max="13" width="18.33203125" bestFit="1" customWidth="1"/>
    <col min="14" max="15" width="5.83203125" bestFit="1" customWidth="1"/>
    <col min="16" max="16" width="4.83203125" bestFit="1" customWidth="1"/>
    <col min="17" max="20" width="5.83203125" bestFit="1" customWidth="1"/>
    <col min="21" max="21" width="4.83203125" bestFit="1" customWidth="1"/>
    <col min="22" max="22" width="5.33203125" bestFit="1" customWidth="1"/>
    <col min="23" max="23" width="4.83203125" bestFit="1" customWidth="1"/>
    <col min="24" max="24" width="5.83203125" bestFit="1" customWidth="1"/>
    <col min="25" max="27" width="4.6640625" bestFit="1" customWidth="1"/>
    <col min="28" max="28" width="4.83203125" bestFit="1" customWidth="1"/>
    <col min="29" max="29" width="7" bestFit="1" customWidth="1"/>
    <col min="30" max="30" width="5.83203125" bestFit="1" customWidth="1"/>
    <col min="31" max="31" width="6" bestFit="1" customWidth="1"/>
    <col min="32" max="33" width="4.6640625" bestFit="1" customWidth="1"/>
    <col min="34" max="36" width="7.5" bestFit="1" customWidth="1"/>
    <col min="37" max="37" width="4.6640625" bestFit="1" customWidth="1"/>
    <col min="38" max="39" width="5.83203125" bestFit="1" customWidth="1"/>
    <col min="40" max="41" width="4.6640625" bestFit="1" customWidth="1"/>
    <col min="42" max="44" width="5.83203125" bestFit="1" customWidth="1"/>
    <col min="45" max="47" width="4.6640625" bestFit="1" customWidth="1"/>
    <col min="48" max="48" width="4.83203125" bestFit="1" customWidth="1"/>
    <col min="49" max="49" width="4.6640625" bestFit="1" customWidth="1"/>
    <col min="50" max="52" width="11" bestFit="1" customWidth="1"/>
  </cols>
  <sheetData>
    <row r="1" spans="1:52" ht="18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7" t="s">
        <v>93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 t="s">
        <v>94</v>
      </c>
      <c r="AF1" s="17"/>
      <c r="AG1" s="17"/>
      <c r="AH1" s="17"/>
      <c r="AI1" s="17"/>
      <c r="AJ1" s="17"/>
      <c r="AK1" s="17" t="s">
        <v>95</v>
      </c>
      <c r="AL1" s="17"/>
      <c r="AM1" s="17"/>
      <c r="AN1" s="17"/>
      <c r="AO1" s="17" t="s">
        <v>96</v>
      </c>
      <c r="AP1" s="17"/>
      <c r="AQ1" s="17"/>
      <c r="AR1" s="17"/>
      <c r="AS1" s="17"/>
      <c r="AT1" s="17"/>
      <c r="AU1" s="17"/>
      <c r="AV1" s="7"/>
      <c r="AW1" s="7"/>
      <c r="AX1" s="7"/>
      <c r="AY1" s="7"/>
      <c r="AZ1" s="7"/>
    </row>
    <row r="2" spans="1:52" ht="18" x14ac:dyDescent="0.2">
      <c r="A2" s="7" t="s">
        <v>89</v>
      </c>
      <c r="B2" s="7" t="s">
        <v>0</v>
      </c>
      <c r="C2" s="7" t="s">
        <v>1</v>
      </c>
      <c r="D2" s="7" t="s">
        <v>90</v>
      </c>
      <c r="E2" s="15" t="s">
        <v>161</v>
      </c>
      <c r="F2" s="7" t="s">
        <v>162</v>
      </c>
      <c r="G2" s="7" t="s">
        <v>163</v>
      </c>
      <c r="H2" s="7" t="s">
        <v>127</v>
      </c>
      <c r="I2" s="7" t="s">
        <v>128</v>
      </c>
      <c r="J2" s="7" t="s">
        <v>129</v>
      </c>
      <c r="K2" s="7" t="s">
        <v>2</v>
      </c>
      <c r="L2" s="7" t="s">
        <v>92</v>
      </c>
      <c r="M2" s="7"/>
      <c r="N2" s="3" t="s">
        <v>97</v>
      </c>
      <c r="O2" s="4" t="s">
        <v>98</v>
      </c>
      <c r="P2" s="4" t="s">
        <v>99</v>
      </c>
      <c r="Q2" s="4" t="s">
        <v>100</v>
      </c>
      <c r="R2" s="4" t="s">
        <v>101</v>
      </c>
      <c r="S2" s="4" t="s">
        <v>102</v>
      </c>
      <c r="T2" s="4" t="s">
        <v>103</v>
      </c>
      <c r="U2" s="4" t="s">
        <v>104</v>
      </c>
      <c r="V2" s="4" t="s">
        <v>105</v>
      </c>
      <c r="W2" s="4" t="s">
        <v>106</v>
      </c>
      <c r="X2" s="4" t="s">
        <v>107</v>
      </c>
      <c r="Y2" s="4" t="s">
        <v>108</v>
      </c>
      <c r="Z2" s="4" t="s">
        <v>109</v>
      </c>
      <c r="AA2" s="4" t="s">
        <v>110</v>
      </c>
      <c r="AB2" s="4" t="s">
        <v>111</v>
      </c>
      <c r="AC2" s="4" t="s">
        <v>112</v>
      </c>
      <c r="AD2" s="4" t="s">
        <v>113</v>
      </c>
      <c r="AE2" s="4" t="s">
        <v>114</v>
      </c>
      <c r="AF2" s="4" t="s">
        <v>115</v>
      </c>
      <c r="AG2" s="4" t="s">
        <v>116</v>
      </c>
      <c r="AH2" s="4" t="s">
        <v>117</v>
      </c>
      <c r="AI2" s="4" t="s">
        <v>118</v>
      </c>
      <c r="AJ2" s="4" t="s">
        <v>113</v>
      </c>
      <c r="AK2" s="4" t="s">
        <v>119</v>
      </c>
      <c r="AL2" s="5" t="s">
        <v>120</v>
      </c>
      <c r="AM2" s="4" t="s">
        <v>121</v>
      </c>
      <c r="AN2" s="4" t="s">
        <v>122</v>
      </c>
      <c r="AO2" s="4">
        <v>0</v>
      </c>
      <c r="AP2" s="4">
        <v>1</v>
      </c>
      <c r="AQ2" s="4">
        <v>2</v>
      </c>
      <c r="AR2" s="4">
        <v>3</v>
      </c>
      <c r="AS2" s="4">
        <v>4</v>
      </c>
      <c r="AT2" s="4">
        <v>5</v>
      </c>
      <c r="AU2" s="4" t="s">
        <v>113</v>
      </c>
      <c r="AV2" s="4" t="s">
        <v>123</v>
      </c>
      <c r="AW2" s="4" t="s">
        <v>124</v>
      </c>
      <c r="AX2" s="4" t="s">
        <v>125</v>
      </c>
      <c r="AY2" s="4" t="s">
        <v>126</v>
      </c>
      <c r="AZ2" s="7"/>
    </row>
    <row r="3" spans="1:52" x14ac:dyDescent="0.2">
      <c r="A3" s="7">
        <v>1</v>
      </c>
      <c r="B3" s="7">
        <v>38.287288974970501</v>
      </c>
      <c r="C3" s="7">
        <f>-28.266834039241</f>
        <v>-28.266834039241001</v>
      </c>
      <c r="D3" s="8">
        <v>41105</v>
      </c>
      <c r="E3" s="15" t="s">
        <v>131</v>
      </c>
      <c r="F3" s="15" t="s">
        <v>132</v>
      </c>
      <c r="G3" s="15" t="s">
        <v>133</v>
      </c>
      <c r="H3" s="9">
        <v>0.43751157407407404</v>
      </c>
      <c r="I3" s="9"/>
      <c r="J3" s="9">
        <v>6.9444444444444447E-4</v>
      </c>
      <c r="K3" s="7" t="s">
        <v>3</v>
      </c>
      <c r="L3" s="7" t="s">
        <v>4</v>
      </c>
      <c r="M3" s="7" t="s">
        <v>4</v>
      </c>
      <c r="N3" s="7"/>
      <c r="O3" s="7"/>
      <c r="P3" s="7"/>
      <c r="Q3" s="7"/>
      <c r="R3" s="7"/>
      <c r="S3" s="7">
        <v>1</v>
      </c>
      <c r="T3" s="7"/>
      <c r="U3" s="7"/>
      <c r="V3" s="7"/>
      <c r="W3" s="7"/>
      <c r="X3" s="7"/>
      <c r="Y3" s="7"/>
      <c r="Z3" s="7"/>
      <c r="AA3" s="7"/>
      <c r="AB3" s="7"/>
      <c r="AC3" s="7">
        <v>1</v>
      </c>
      <c r="AD3" s="7"/>
      <c r="AE3" s="7">
        <v>5</v>
      </c>
      <c r="AF3" s="7">
        <v>5</v>
      </c>
      <c r="AG3" s="7"/>
      <c r="AH3" s="7"/>
      <c r="AI3" s="7"/>
      <c r="AJ3" s="7"/>
      <c r="AK3" s="7"/>
      <c r="AL3" s="7"/>
      <c r="AM3" s="7">
        <v>1</v>
      </c>
      <c r="AN3" s="7"/>
      <c r="AO3" s="7"/>
      <c r="AP3" s="7">
        <v>1</v>
      </c>
      <c r="AQ3" s="7"/>
      <c r="AR3" s="7"/>
      <c r="AS3" s="7"/>
      <c r="AT3" s="7"/>
      <c r="AU3" s="7"/>
      <c r="AV3" s="7"/>
      <c r="AW3" s="7"/>
      <c r="AX3" s="7"/>
      <c r="AY3" s="7" t="s">
        <v>130</v>
      </c>
      <c r="AZ3" s="7"/>
    </row>
    <row r="4" spans="1:52" x14ac:dyDescent="0.2">
      <c r="A4" s="7">
        <v>2</v>
      </c>
      <c r="B4" s="7">
        <v>38.351341970264897</v>
      </c>
      <c r="C4" s="7">
        <f>-28.1220629811286</f>
        <v>-28.1220629811286</v>
      </c>
      <c r="D4" s="8">
        <v>41109</v>
      </c>
      <c r="E4" s="15" t="s">
        <v>134</v>
      </c>
      <c r="F4" s="15" t="s">
        <v>132</v>
      </c>
      <c r="G4" s="15" t="s">
        <v>133</v>
      </c>
      <c r="H4" s="9">
        <v>0.65878472222222217</v>
      </c>
      <c r="I4" s="9"/>
      <c r="J4" s="9">
        <v>6.9444444444444447E-4</v>
      </c>
      <c r="K4" s="7" t="s">
        <v>5</v>
      </c>
      <c r="L4" s="7" t="s">
        <v>6</v>
      </c>
      <c r="M4" s="7" t="s">
        <v>6</v>
      </c>
      <c r="N4" s="7"/>
      <c r="O4" s="7"/>
      <c r="P4" s="7"/>
      <c r="Q4" s="7"/>
      <c r="R4" s="7"/>
      <c r="S4" s="7">
        <v>1</v>
      </c>
      <c r="T4" s="7"/>
      <c r="U4" s="7"/>
      <c r="V4" s="7"/>
      <c r="W4" s="7"/>
      <c r="X4" s="7"/>
      <c r="Y4" s="7"/>
      <c r="Z4" s="7"/>
      <c r="AA4" s="7"/>
      <c r="AB4" s="7"/>
      <c r="AC4" s="7">
        <v>1</v>
      </c>
      <c r="AD4" s="7"/>
      <c r="AE4" s="7">
        <v>4</v>
      </c>
      <c r="AF4" s="7">
        <v>4</v>
      </c>
      <c r="AG4" s="7"/>
      <c r="AH4" s="7"/>
      <c r="AI4" s="7"/>
      <c r="AJ4" s="7"/>
      <c r="AK4" s="7"/>
      <c r="AL4" s="7">
        <v>1</v>
      </c>
      <c r="AM4" s="7"/>
      <c r="AN4" s="7"/>
      <c r="AO4" s="7"/>
      <c r="AP4" s="7"/>
      <c r="AQ4" s="7">
        <v>1</v>
      </c>
      <c r="AR4" s="7"/>
      <c r="AS4" s="7"/>
      <c r="AT4" s="7"/>
      <c r="AU4" s="7"/>
      <c r="AV4" s="7"/>
      <c r="AW4" s="7"/>
      <c r="AX4" s="7"/>
      <c r="AY4" s="7" t="s">
        <v>130</v>
      </c>
      <c r="AZ4" s="7"/>
    </row>
    <row r="5" spans="1:52" x14ac:dyDescent="0.2">
      <c r="A5" s="7">
        <v>3</v>
      </c>
      <c r="B5" s="7">
        <v>38.3250389713793</v>
      </c>
      <c r="C5" s="7">
        <f>-28.0875939968973</f>
        <v>-28.087593996897301</v>
      </c>
      <c r="D5" s="8">
        <v>41111</v>
      </c>
      <c r="E5" s="15" t="s">
        <v>135</v>
      </c>
      <c r="F5" s="15" t="s">
        <v>132</v>
      </c>
      <c r="G5" s="15" t="s">
        <v>133</v>
      </c>
      <c r="H5" s="9">
        <v>0.70196759259259256</v>
      </c>
      <c r="I5" s="9">
        <v>0.71356481481481471</v>
      </c>
      <c r="J5" s="9">
        <f t="shared" ref="J5:J34" si="0">I5-H5</f>
        <v>1.1597222222222148E-2</v>
      </c>
      <c r="K5" s="7" t="s">
        <v>7</v>
      </c>
      <c r="L5" s="7" t="s">
        <v>8</v>
      </c>
      <c r="M5" s="7" t="s">
        <v>10</v>
      </c>
      <c r="N5" s="7"/>
      <c r="O5" s="7"/>
      <c r="P5" s="7"/>
      <c r="Q5" s="7"/>
      <c r="R5" s="7"/>
      <c r="S5" s="7">
        <v>1</v>
      </c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>
        <v>5</v>
      </c>
      <c r="AF5" s="7">
        <v>5</v>
      </c>
      <c r="AG5" s="7"/>
      <c r="AH5" s="7"/>
      <c r="AI5" s="7"/>
      <c r="AJ5" s="7"/>
      <c r="AK5" s="7"/>
      <c r="AL5" s="7"/>
      <c r="AM5" s="7">
        <v>1</v>
      </c>
      <c r="AN5" s="7"/>
      <c r="AO5" s="7"/>
      <c r="AP5" s="7">
        <v>1</v>
      </c>
      <c r="AQ5" s="7"/>
      <c r="AR5" s="7"/>
      <c r="AS5" s="7"/>
      <c r="AT5" s="7"/>
      <c r="AU5" s="7"/>
      <c r="AV5" s="7"/>
      <c r="AW5" s="7"/>
      <c r="AX5" s="7"/>
      <c r="AY5" s="7" t="s">
        <v>130</v>
      </c>
      <c r="AZ5" s="7"/>
    </row>
    <row r="6" spans="1:52" x14ac:dyDescent="0.2">
      <c r="A6" s="7">
        <v>4</v>
      </c>
      <c r="B6" s="7">
        <v>38.2529520057141</v>
      </c>
      <c r="C6" s="7">
        <f>-28.2271830271929</f>
        <v>-28.227183027192901</v>
      </c>
      <c r="D6" s="8">
        <v>41116</v>
      </c>
      <c r="E6" s="15" t="s">
        <v>136</v>
      </c>
      <c r="F6" s="15" t="s">
        <v>132</v>
      </c>
      <c r="G6" s="15" t="s">
        <v>133</v>
      </c>
      <c r="H6" s="9">
        <v>0.49541666666666667</v>
      </c>
      <c r="I6" s="9"/>
      <c r="J6" s="9">
        <v>6.9444444444444447E-4</v>
      </c>
      <c r="K6" s="7" t="s">
        <v>11</v>
      </c>
      <c r="L6" s="7" t="s">
        <v>12</v>
      </c>
      <c r="M6" s="7" t="s">
        <v>12</v>
      </c>
      <c r="N6" s="7"/>
      <c r="O6" s="7"/>
      <c r="P6" s="7"/>
      <c r="Q6" s="7"/>
      <c r="R6" s="7"/>
      <c r="S6" s="7">
        <v>1</v>
      </c>
      <c r="T6" s="7"/>
      <c r="U6" s="7"/>
      <c r="V6" s="7"/>
      <c r="W6" s="7"/>
      <c r="X6" s="7"/>
      <c r="Y6" s="7"/>
      <c r="Z6" s="7"/>
      <c r="AA6" s="7"/>
      <c r="AB6" s="7"/>
      <c r="AC6" s="7">
        <v>1</v>
      </c>
      <c r="AD6" s="7"/>
      <c r="AE6" s="7">
        <v>3</v>
      </c>
      <c r="AF6" s="7">
        <v>3</v>
      </c>
      <c r="AG6" s="7"/>
      <c r="AH6" s="7"/>
      <c r="AI6" s="7"/>
      <c r="AJ6" s="7"/>
      <c r="AK6" s="7"/>
      <c r="AL6" s="7"/>
      <c r="AM6" s="7">
        <v>1</v>
      </c>
      <c r="AN6" s="7"/>
      <c r="AO6" s="7"/>
      <c r="AP6" s="7"/>
      <c r="AQ6" s="7"/>
      <c r="AR6" s="7"/>
      <c r="AS6" s="7">
        <v>1</v>
      </c>
      <c r="AT6" s="7"/>
      <c r="AU6" s="7"/>
      <c r="AV6" s="7"/>
      <c r="AW6" s="7"/>
      <c r="AX6" s="7"/>
      <c r="AY6" s="7" t="s">
        <v>130</v>
      </c>
      <c r="AZ6" s="7"/>
    </row>
    <row r="7" spans="1:52" x14ac:dyDescent="0.2">
      <c r="A7" s="7">
        <v>5</v>
      </c>
      <c r="B7" s="7">
        <v>38.327221032232003</v>
      </c>
      <c r="C7" s="7">
        <f>-28.296507988125</f>
        <v>-28.296507988125001</v>
      </c>
      <c r="D7" s="8">
        <v>41834</v>
      </c>
      <c r="E7" s="15" t="s">
        <v>137</v>
      </c>
      <c r="F7" s="15" t="s">
        <v>132</v>
      </c>
      <c r="G7" s="15" t="s">
        <v>138</v>
      </c>
      <c r="H7" s="9">
        <v>0.44165509259259261</v>
      </c>
      <c r="I7" s="9">
        <v>0.44423611111111111</v>
      </c>
      <c r="J7" s="9">
        <f t="shared" si="0"/>
        <v>2.5810185185184964E-3</v>
      </c>
      <c r="K7" s="7" t="s">
        <v>13</v>
      </c>
      <c r="L7" s="7" t="s">
        <v>8</v>
      </c>
      <c r="M7" s="7" t="s">
        <v>15</v>
      </c>
      <c r="N7" s="7">
        <v>1</v>
      </c>
      <c r="O7" s="7"/>
      <c r="P7" s="7"/>
      <c r="Q7" s="7"/>
      <c r="R7" s="7"/>
      <c r="S7" s="7">
        <v>1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>
        <v>5</v>
      </c>
      <c r="AF7" s="7">
        <v>5</v>
      </c>
      <c r="AG7" s="7"/>
      <c r="AH7" s="7"/>
      <c r="AI7" s="7"/>
      <c r="AJ7" s="7"/>
      <c r="AK7" s="7"/>
      <c r="AL7" s="7">
        <v>1</v>
      </c>
      <c r="AM7" s="7"/>
      <c r="AN7" s="7"/>
      <c r="AO7" s="7"/>
      <c r="AP7" s="7"/>
      <c r="AQ7" s="7">
        <v>1</v>
      </c>
      <c r="AR7" s="7"/>
      <c r="AS7" s="7"/>
      <c r="AT7" s="7"/>
      <c r="AU7" s="7"/>
      <c r="AV7" s="7"/>
      <c r="AW7" s="7"/>
      <c r="AX7" s="7"/>
      <c r="AY7" s="7" t="s">
        <v>130</v>
      </c>
      <c r="AZ7" s="7"/>
    </row>
    <row r="8" spans="1:52" x14ac:dyDescent="0.2">
      <c r="A8" s="7">
        <v>6</v>
      </c>
      <c r="B8" s="7">
        <v>38.306504990905502</v>
      </c>
      <c r="C8" s="7">
        <f>-28.2474699988961</f>
        <v>-28.247469998896101</v>
      </c>
      <c r="D8" s="8">
        <v>42198</v>
      </c>
      <c r="E8" s="15" t="s">
        <v>139</v>
      </c>
      <c r="F8" s="15" t="s">
        <v>132</v>
      </c>
      <c r="G8" s="15" t="s">
        <v>140</v>
      </c>
      <c r="H8" s="9">
        <v>0.44072916666666667</v>
      </c>
      <c r="I8" s="9">
        <v>0.45548611111111109</v>
      </c>
      <c r="J8" s="9">
        <f t="shared" si="0"/>
        <v>1.475694444444442E-2</v>
      </c>
      <c r="K8" s="7" t="s">
        <v>16</v>
      </c>
      <c r="L8" s="7" t="s">
        <v>8</v>
      </c>
      <c r="M8" s="7" t="s">
        <v>18</v>
      </c>
      <c r="N8" s="7"/>
      <c r="O8" s="7"/>
      <c r="P8" s="7"/>
      <c r="Q8" s="7"/>
      <c r="R8" s="7"/>
      <c r="S8" s="7">
        <v>1</v>
      </c>
      <c r="T8" s="7"/>
      <c r="U8" s="7"/>
      <c r="V8" s="7"/>
      <c r="W8" s="7"/>
      <c r="X8" s="7"/>
      <c r="Y8" s="7"/>
      <c r="Z8" s="7"/>
      <c r="AA8" s="7"/>
      <c r="AB8" s="7"/>
      <c r="AC8" s="7">
        <v>1</v>
      </c>
      <c r="AD8" s="7"/>
      <c r="AE8" s="7">
        <v>2</v>
      </c>
      <c r="AF8" s="7">
        <v>2</v>
      </c>
      <c r="AG8" s="7"/>
      <c r="AH8" s="7"/>
      <c r="AI8" s="7"/>
      <c r="AJ8" s="7"/>
      <c r="AK8" s="7"/>
      <c r="AL8" s="7">
        <v>1</v>
      </c>
      <c r="AM8" s="7"/>
      <c r="AN8" s="7"/>
      <c r="AO8" s="7"/>
      <c r="AP8" s="7">
        <v>1</v>
      </c>
      <c r="AQ8" s="7"/>
      <c r="AR8" s="7"/>
      <c r="AS8" s="7"/>
      <c r="AT8" s="7"/>
      <c r="AU8" s="7"/>
      <c r="AV8" s="7">
        <v>1</v>
      </c>
      <c r="AW8" s="7"/>
      <c r="AX8" s="7"/>
      <c r="AY8" s="7" t="s">
        <v>130</v>
      </c>
      <c r="AZ8" s="7"/>
    </row>
    <row r="9" spans="1:52" x14ac:dyDescent="0.2">
      <c r="A9" s="7">
        <v>7</v>
      </c>
      <c r="B9" s="7">
        <v>38.342226985841897</v>
      </c>
      <c r="C9" s="7">
        <f>-28.155828975141</f>
        <v>-28.155828975140999</v>
      </c>
      <c r="D9" s="8">
        <v>42200</v>
      </c>
      <c r="E9" s="15" t="s">
        <v>131</v>
      </c>
      <c r="F9" s="15" t="s">
        <v>132</v>
      </c>
      <c r="G9" s="15" t="s">
        <v>140</v>
      </c>
      <c r="H9" s="9">
        <v>0.4803587962962963</v>
      </c>
      <c r="I9" s="9">
        <v>0.49723379629629627</v>
      </c>
      <c r="J9" s="9">
        <f t="shared" si="0"/>
        <v>1.6874999999999973E-2</v>
      </c>
      <c r="K9" s="7" t="s">
        <v>19</v>
      </c>
      <c r="L9" s="7" t="s">
        <v>8</v>
      </c>
      <c r="M9" s="7" t="s">
        <v>21</v>
      </c>
      <c r="N9" s="7"/>
      <c r="O9" s="7"/>
      <c r="P9" s="7"/>
      <c r="Q9" s="7"/>
      <c r="R9" s="7"/>
      <c r="S9" s="7">
        <v>1</v>
      </c>
      <c r="T9" s="7"/>
      <c r="U9" s="7"/>
      <c r="V9" s="7"/>
      <c r="W9" s="7"/>
      <c r="X9" s="7"/>
      <c r="Y9" s="7"/>
      <c r="Z9" s="7"/>
      <c r="AA9" s="7"/>
      <c r="AB9" s="7"/>
      <c r="AC9" s="7">
        <v>1</v>
      </c>
      <c r="AD9" s="7"/>
      <c r="AE9" s="7">
        <v>5</v>
      </c>
      <c r="AF9" s="7">
        <v>5</v>
      </c>
      <c r="AG9" s="7"/>
      <c r="AH9" s="7"/>
      <c r="AI9" s="7"/>
      <c r="AJ9" s="7"/>
      <c r="AK9" s="7"/>
      <c r="AL9" s="7">
        <v>1</v>
      </c>
      <c r="AM9" s="7"/>
      <c r="AN9" s="7"/>
      <c r="AO9" s="7"/>
      <c r="AP9" s="7"/>
      <c r="AQ9" s="7">
        <v>1</v>
      </c>
      <c r="AR9" s="7"/>
      <c r="AS9" s="7"/>
      <c r="AT9" s="7"/>
      <c r="AU9" s="7"/>
      <c r="AV9" s="7">
        <v>1</v>
      </c>
      <c r="AW9" s="7"/>
      <c r="AX9" s="7"/>
      <c r="AY9" s="7" t="s">
        <v>130</v>
      </c>
      <c r="AZ9" s="7"/>
    </row>
    <row r="10" spans="1:52" x14ac:dyDescent="0.2">
      <c r="A10" s="7">
        <v>8</v>
      </c>
      <c r="B10" s="7">
        <v>38.344968035817097</v>
      </c>
      <c r="C10" s="7">
        <f>-28.2946430146694</f>
        <v>-28.294643014669401</v>
      </c>
      <c r="D10" s="8">
        <v>42200</v>
      </c>
      <c r="E10" s="15" t="s">
        <v>131</v>
      </c>
      <c r="F10" s="15" t="s">
        <v>132</v>
      </c>
      <c r="G10" s="15" t="s">
        <v>140</v>
      </c>
      <c r="H10" s="9">
        <v>0.60612268518518519</v>
      </c>
      <c r="I10" s="9">
        <v>0.61108796296296297</v>
      </c>
      <c r="J10" s="9">
        <f t="shared" si="0"/>
        <v>4.9652777777777768E-3</v>
      </c>
      <c r="K10" s="7" t="s">
        <v>22</v>
      </c>
      <c r="L10" s="7" t="s">
        <v>8</v>
      </c>
      <c r="M10" s="7" t="s">
        <v>24</v>
      </c>
      <c r="N10" s="7"/>
      <c r="O10" s="7"/>
      <c r="P10" s="7"/>
      <c r="Q10" s="7"/>
      <c r="R10" s="7">
        <v>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>
        <v>1</v>
      </c>
      <c r="AD10" s="7"/>
      <c r="AE10" s="7">
        <v>6</v>
      </c>
      <c r="AF10" s="7">
        <v>6</v>
      </c>
      <c r="AG10" s="7"/>
      <c r="AH10" s="7"/>
      <c r="AI10" s="7"/>
      <c r="AJ10" s="7"/>
      <c r="AK10" s="7"/>
      <c r="AL10" s="7">
        <v>1</v>
      </c>
      <c r="AM10" s="7"/>
      <c r="AN10" s="7"/>
      <c r="AO10" s="7"/>
      <c r="AP10" s="7"/>
      <c r="AQ10" s="7">
        <v>1</v>
      </c>
      <c r="AR10" s="7"/>
      <c r="AS10" s="7"/>
      <c r="AT10" s="7"/>
      <c r="AU10" s="7"/>
      <c r="AV10" s="7">
        <v>1</v>
      </c>
      <c r="AW10" s="7"/>
      <c r="AX10" s="7"/>
      <c r="AY10" s="7" t="s">
        <v>130</v>
      </c>
      <c r="AZ10" s="7"/>
    </row>
    <row r="11" spans="1:52" x14ac:dyDescent="0.2">
      <c r="A11" s="7">
        <v>9</v>
      </c>
      <c r="B11" s="7">
        <v>38.234035978093701</v>
      </c>
      <c r="C11" s="7">
        <f>-28.3695449586957</f>
        <v>-28.369544958695698</v>
      </c>
      <c r="D11" s="8">
        <v>42202</v>
      </c>
      <c r="E11" s="15" t="s">
        <v>141</v>
      </c>
      <c r="F11" s="15" t="s">
        <v>132</v>
      </c>
      <c r="G11" s="15" t="s">
        <v>140</v>
      </c>
      <c r="H11" s="9">
        <v>0.68976851851851861</v>
      </c>
      <c r="I11" s="9"/>
      <c r="J11" s="9">
        <v>6.9444444444444447E-4</v>
      </c>
      <c r="K11" s="7" t="s">
        <v>25</v>
      </c>
      <c r="L11" s="7" t="s">
        <v>26</v>
      </c>
      <c r="M11" s="7" t="s">
        <v>26</v>
      </c>
      <c r="N11" s="7"/>
      <c r="O11" s="7"/>
      <c r="P11" s="7"/>
      <c r="Q11" s="7">
        <v>1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1</v>
      </c>
      <c r="AD11" s="7"/>
      <c r="AE11" s="7">
        <v>3</v>
      </c>
      <c r="AF11" s="7">
        <v>3</v>
      </c>
      <c r="AG11" s="7"/>
      <c r="AH11" s="7"/>
      <c r="AI11" s="7"/>
      <c r="AJ11" s="7"/>
      <c r="AK11" s="7"/>
      <c r="AL11" s="7">
        <v>1</v>
      </c>
      <c r="AM11" s="7"/>
      <c r="AN11" s="7"/>
      <c r="AO11" s="7"/>
      <c r="AP11" s="7"/>
      <c r="AQ11" s="7"/>
      <c r="AR11" s="7">
        <v>1</v>
      </c>
      <c r="AS11" s="7"/>
      <c r="AT11" s="7"/>
      <c r="AU11" s="7"/>
      <c r="AV11" s="7">
        <v>3</v>
      </c>
      <c r="AW11" s="7"/>
      <c r="AX11" s="7"/>
      <c r="AY11" s="7" t="s">
        <v>130</v>
      </c>
      <c r="AZ11" s="7"/>
    </row>
    <row r="12" spans="1:52" x14ac:dyDescent="0.2">
      <c r="A12" s="7">
        <v>10</v>
      </c>
      <c r="B12" s="7">
        <v>38.3244219794869</v>
      </c>
      <c r="C12" s="7">
        <f>-28.1983579974621</f>
        <v>-28.1983579974621</v>
      </c>
      <c r="D12" s="8">
        <v>42219</v>
      </c>
      <c r="E12" s="15" t="s">
        <v>142</v>
      </c>
      <c r="F12" s="15" t="s">
        <v>143</v>
      </c>
      <c r="G12" s="15" t="s">
        <v>140</v>
      </c>
      <c r="H12" s="9">
        <v>0.4924189814814815</v>
      </c>
      <c r="I12" s="9">
        <v>0.50666666666666671</v>
      </c>
      <c r="J12" s="9">
        <f t="shared" si="0"/>
        <v>1.424768518518521E-2</v>
      </c>
      <c r="K12" s="7" t="s">
        <v>27</v>
      </c>
      <c r="L12" s="7" t="s">
        <v>8</v>
      </c>
      <c r="M12" s="7" t="s">
        <v>29</v>
      </c>
      <c r="N12" s="7"/>
      <c r="O12" s="7"/>
      <c r="P12" s="7"/>
      <c r="Q12" s="7"/>
      <c r="R12" s="7">
        <v>1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1</v>
      </c>
      <c r="AD12" s="7"/>
      <c r="AE12" s="7">
        <v>5</v>
      </c>
      <c r="AF12" s="7">
        <v>5</v>
      </c>
      <c r="AG12" s="7"/>
      <c r="AH12" s="7"/>
      <c r="AI12" s="7"/>
      <c r="AJ12" s="7"/>
      <c r="AK12" s="7"/>
      <c r="AL12" s="7">
        <v>1</v>
      </c>
      <c r="AM12" s="7"/>
      <c r="AN12" s="7"/>
      <c r="AO12" s="7"/>
      <c r="AP12" s="7">
        <v>1</v>
      </c>
      <c r="AQ12" s="7"/>
      <c r="AR12" s="7"/>
      <c r="AS12" s="7"/>
      <c r="AT12" s="7"/>
      <c r="AU12" s="7"/>
      <c r="AV12" s="7">
        <v>2</v>
      </c>
      <c r="AW12" s="7"/>
      <c r="AX12" s="7"/>
      <c r="AY12" s="7" t="s">
        <v>130</v>
      </c>
      <c r="AZ12" s="7"/>
    </row>
    <row r="13" spans="1:52" x14ac:dyDescent="0.2">
      <c r="A13" s="7">
        <v>11</v>
      </c>
      <c r="B13" s="7">
        <v>38.353459993377299</v>
      </c>
      <c r="C13" s="7">
        <f>-28.1560660153627</f>
        <v>-28.1560660153627</v>
      </c>
      <c r="D13" s="8">
        <v>42220</v>
      </c>
      <c r="E13" s="15" t="s">
        <v>144</v>
      </c>
      <c r="F13" s="15" t="s">
        <v>143</v>
      </c>
      <c r="G13" s="15" t="s">
        <v>140</v>
      </c>
      <c r="H13" s="9">
        <v>0.68396990740740737</v>
      </c>
      <c r="I13" s="9">
        <v>0.70209490740740732</v>
      </c>
      <c r="J13" s="9">
        <f t="shared" si="0"/>
        <v>1.8124999999999947E-2</v>
      </c>
      <c r="K13" s="7" t="s">
        <v>30</v>
      </c>
      <c r="L13" s="7" t="s">
        <v>8</v>
      </c>
      <c r="M13" s="7" t="s">
        <v>32</v>
      </c>
      <c r="N13" s="7"/>
      <c r="O13" s="7">
        <v>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>
        <v>2</v>
      </c>
      <c r="AF13" s="7">
        <v>2</v>
      </c>
      <c r="AG13" s="7"/>
      <c r="AH13" s="7"/>
      <c r="AI13" s="7"/>
      <c r="AJ13" s="7"/>
      <c r="AK13" s="7"/>
      <c r="AL13" s="7"/>
      <c r="AM13" s="7">
        <v>1</v>
      </c>
      <c r="AN13" s="7"/>
      <c r="AO13" s="7"/>
      <c r="AP13" s="7"/>
      <c r="AQ13" s="7">
        <v>1</v>
      </c>
      <c r="AR13" s="7"/>
      <c r="AS13" s="7"/>
      <c r="AT13" s="7"/>
      <c r="AU13" s="7"/>
      <c r="AV13" s="7">
        <v>1</v>
      </c>
      <c r="AW13" s="7"/>
      <c r="AX13" s="7"/>
      <c r="AY13" s="7" t="s">
        <v>130</v>
      </c>
      <c r="AZ13" s="7"/>
    </row>
    <row r="14" spans="1:52" x14ac:dyDescent="0.2">
      <c r="A14" s="7">
        <v>12</v>
      </c>
      <c r="B14" s="7">
        <v>38.361295983195298</v>
      </c>
      <c r="C14" s="7">
        <f>-28.3957720175385</f>
        <v>-28.395772017538501</v>
      </c>
      <c r="D14" s="8">
        <v>42260</v>
      </c>
      <c r="E14" s="15" t="s">
        <v>139</v>
      </c>
      <c r="F14" s="15" t="s">
        <v>145</v>
      </c>
      <c r="G14" s="15" t="s">
        <v>140</v>
      </c>
      <c r="H14" s="9">
        <v>0.71265046296296297</v>
      </c>
      <c r="I14" s="9"/>
      <c r="J14" s="9">
        <v>6.9444444444444447E-4</v>
      </c>
      <c r="K14" s="7" t="s">
        <v>33</v>
      </c>
      <c r="L14" s="7" t="s">
        <v>34</v>
      </c>
      <c r="M14" s="7" t="s">
        <v>34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>
        <v>1</v>
      </c>
      <c r="AE14" s="7">
        <v>5</v>
      </c>
      <c r="AF14" s="7">
        <v>5</v>
      </c>
      <c r="AG14" s="7"/>
      <c r="AH14" s="7"/>
      <c r="AI14" s="7"/>
      <c r="AJ14" s="7"/>
      <c r="AK14" s="7"/>
      <c r="AL14" s="7">
        <v>1</v>
      </c>
      <c r="AM14" s="7"/>
      <c r="AN14" s="7"/>
      <c r="AO14" s="7"/>
      <c r="AP14" s="7">
        <v>1</v>
      </c>
      <c r="AQ14" s="7"/>
      <c r="AR14" s="7"/>
      <c r="AS14" s="7"/>
      <c r="AT14" s="7"/>
      <c r="AU14" s="7"/>
      <c r="AV14" s="7">
        <v>1</v>
      </c>
      <c r="AW14" s="7"/>
      <c r="AX14" s="7"/>
      <c r="AY14" s="7" t="s">
        <v>130</v>
      </c>
      <c r="AZ14" s="7"/>
    </row>
    <row r="15" spans="1:52" x14ac:dyDescent="0.2">
      <c r="A15" s="7">
        <v>13</v>
      </c>
      <c r="B15" s="7">
        <v>38.3359249681234</v>
      </c>
      <c r="C15" s="7">
        <f>-28.2319970056414</f>
        <v>-28.2319970056414</v>
      </c>
      <c r="D15" s="8">
        <v>42276</v>
      </c>
      <c r="E15" s="15" t="s">
        <v>146</v>
      </c>
      <c r="F15" s="15" t="s">
        <v>145</v>
      </c>
      <c r="G15" s="15" t="s">
        <v>140</v>
      </c>
      <c r="H15" s="9">
        <v>0.4427314814814815</v>
      </c>
      <c r="I15" s="9">
        <v>0.45121527777777781</v>
      </c>
      <c r="J15" s="9">
        <f t="shared" si="0"/>
        <v>8.4837962962963087E-3</v>
      </c>
      <c r="K15" s="7" t="s">
        <v>35</v>
      </c>
      <c r="L15" s="7" t="s">
        <v>8</v>
      </c>
      <c r="M15" s="7" t="s">
        <v>37</v>
      </c>
      <c r="N15" s="7"/>
      <c r="O15" s="7"/>
      <c r="P15" s="7"/>
      <c r="Q15" s="7">
        <v>1</v>
      </c>
      <c r="R15" s="7"/>
      <c r="S15" s="7"/>
      <c r="T15" s="7"/>
      <c r="U15" s="7">
        <v>1</v>
      </c>
      <c r="V15" s="7"/>
      <c r="W15" s="7"/>
      <c r="X15" s="7"/>
      <c r="Y15" s="7"/>
      <c r="Z15" s="7"/>
      <c r="AA15" s="7"/>
      <c r="AB15" s="7"/>
      <c r="AC15" s="7"/>
      <c r="AD15" s="7"/>
      <c r="AE15" s="7">
        <v>4</v>
      </c>
      <c r="AF15" s="7">
        <v>2</v>
      </c>
      <c r="AG15" s="7"/>
      <c r="AH15" s="7">
        <v>2</v>
      </c>
      <c r="AI15" s="7"/>
      <c r="AJ15" s="7"/>
      <c r="AK15" s="7"/>
      <c r="AL15" s="7"/>
      <c r="AM15" s="7">
        <v>1</v>
      </c>
      <c r="AN15" s="7"/>
      <c r="AO15" s="7"/>
      <c r="AP15" s="7"/>
      <c r="AQ15" s="7">
        <v>1</v>
      </c>
      <c r="AR15" s="7"/>
      <c r="AS15" s="7"/>
      <c r="AT15" s="7"/>
      <c r="AU15" s="7"/>
      <c r="AV15" s="7">
        <v>2</v>
      </c>
      <c r="AW15" s="7"/>
      <c r="AX15" s="7"/>
      <c r="AY15" s="7" t="s">
        <v>130</v>
      </c>
      <c r="AZ15" s="7"/>
    </row>
    <row r="16" spans="1:52" x14ac:dyDescent="0.2">
      <c r="A16" s="7">
        <v>14</v>
      </c>
      <c r="B16" s="7">
        <v>38.2982649933546</v>
      </c>
      <c r="C16" s="7">
        <f>-28.366850009188</f>
        <v>-28.366850009187999</v>
      </c>
      <c r="D16" s="8">
        <v>42283</v>
      </c>
      <c r="E16" s="15" t="s">
        <v>147</v>
      </c>
      <c r="F16" s="15" t="s">
        <v>148</v>
      </c>
      <c r="G16" s="15" t="s">
        <v>140</v>
      </c>
      <c r="H16" s="9">
        <v>0.49554398148148149</v>
      </c>
      <c r="I16" s="9"/>
      <c r="J16" s="9">
        <v>6.9444444444444447E-4</v>
      </c>
      <c r="K16" s="7" t="s">
        <v>38</v>
      </c>
      <c r="L16" s="7" t="s">
        <v>39</v>
      </c>
      <c r="M16" s="7" t="s">
        <v>39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>
        <v>1</v>
      </c>
      <c r="AE16" s="7">
        <v>6</v>
      </c>
      <c r="AF16" s="7">
        <v>6</v>
      </c>
      <c r="AG16" s="7"/>
      <c r="AH16" s="7"/>
      <c r="AI16" s="7"/>
      <c r="AJ16" s="7"/>
      <c r="AK16" s="7"/>
      <c r="AL16" s="7">
        <v>1</v>
      </c>
      <c r="AM16" s="7"/>
      <c r="AN16" s="7"/>
      <c r="AO16" s="7"/>
      <c r="AP16" s="7">
        <v>1</v>
      </c>
      <c r="AQ16" s="7"/>
      <c r="AR16" s="7"/>
      <c r="AS16" s="7"/>
      <c r="AT16" s="7"/>
      <c r="AU16" s="7"/>
      <c r="AV16" s="7">
        <v>1</v>
      </c>
      <c r="AW16" s="7"/>
      <c r="AX16" s="7"/>
      <c r="AY16" s="7" t="s">
        <v>130</v>
      </c>
      <c r="AZ16" s="7"/>
    </row>
    <row r="17" spans="1:52" x14ac:dyDescent="0.2">
      <c r="A17" s="7">
        <v>15</v>
      </c>
      <c r="B17" s="7">
        <v>38.3263519965112</v>
      </c>
      <c r="C17" s="7">
        <f>-28.4677350148558</f>
        <v>-28.467735014855801</v>
      </c>
      <c r="D17" s="8">
        <v>42283</v>
      </c>
      <c r="E17" s="15" t="s">
        <v>147</v>
      </c>
      <c r="F17" s="15" t="s">
        <v>148</v>
      </c>
      <c r="G17" s="15" t="s">
        <v>140</v>
      </c>
      <c r="H17" s="9">
        <v>0.70339120370370367</v>
      </c>
      <c r="I17" s="9"/>
      <c r="J17" s="9">
        <v>6.9444444444444447E-4</v>
      </c>
      <c r="K17" s="7" t="s">
        <v>40</v>
      </c>
      <c r="L17" s="7" t="s">
        <v>41</v>
      </c>
      <c r="M17" s="7" t="s">
        <v>41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>
        <v>1</v>
      </c>
      <c r="AE17" s="7">
        <v>8</v>
      </c>
      <c r="AF17" s="7">
        <v>8</v>
      </c>
      <c r="AG17" s="7"/>
      <c r="AH17" s="7"/>
      <c r="AI17" s="7"/>
      <c r="AJ17" s="7"/>
      <c r="AK17" s="7"/>
      <c r="AL17" s="7">
        <v>1</v>
      </c>
      <c r="AM17" s="7"/>
      <c r="AN17" s="7"/>
      <c r="AO17" s="7"/>
      <c r="AP17" s="7">
        <v>1</v>
      </c>
      <c r="AQ17" s="7"/>
      <c r="AR17" s="7"/>
      <c r="AS17" s="7"/>
      <c r="AT17" s="7"/>
      <c r="AU17" s="7"/>
      <c r="AV17" s="7">
        <v>1</v>
      </c>
      <c r="AW17" s="7"/>
      <c r="AX17" s="7"/>
      <c r="AY17" s="7" t="s">
        <v>130</v>
      </c>
      <c r="AZ17" s="7"/>
    </row>
    <row r="18" spans="1:52" x14ac:dyDescent="0.2">
      <c r="A18" s="7">
        <v>16</v>
      </c>
      <c r="B18" s="7">
        <v>38.343783002346697</v>
      </c>
      <c r="C18" s="7">
        <f>-28.1856849789619</f>
        <v>-28.185684978961898</v>
      </c>
      <c r="D18" s="8">
        <v>42563</v>
      </c>
      <c r="E18" s="15" t="s">
        <v>149</v>
      </c>
      <c r="F18" s="15" t="s">
        <v>132</v>
      </c>
      <c r="G18" s="15" t="s">
        <v>150</v>
      </c>
      <c r="H18" s="9">
        <v>0.66726851851851843</v>
      </c>
      <c r="I18" s="9">
        <v>0.68855324074074076</v>
      </c>
      <c r="J18" s="9">
        <f t="shared" si="0"/>
        <v>2.128472222222233E-2</v>
      </c>
      <c r="K18" s="7" t="s">
        <v>42</v>
      </c>
      <c r="L18" s="7" t="s">
        <v>8</v>
      </c>
      <c r="M18" s="7" t="s">
        <v>44</v>
      </c>
      <c r="N18" s="7"/>
      <c r="O18" s="7"/>
      <c r="P18" s="7"/>
      <c r="Q18" s="7"/>
      <c r="R18" s="7">
        <v>1</v>
      </c>
      <c r="S18" s="7"/>
      <c r="T18" s="7">
        <v>1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>
        <v>8</v>
      </c>
      <c r="AF18" s="7">
        <v>8</v>
      </c>
      <c r="AG18" s="7"/>
      <c r="AH18" s="7"/>
      <c r="AI18" s="7"/>
      <c r="AJ18" s="7"/>
      <c r="AK18" s="7"/>
      <c r="AL18" s="7">
        <v>1</v>
      </c>
      <c r="AM18" s="7"/>
      <c r="AN18" s="7"/>
      <c r="AO18" s="7"/>
      <c r="AP18" s="7">
        <v>1</v>
      </c>
      <c r="AQ18" s="7"/>
      <c r="AR18" s="7"/>
      <c r="AS18" s="7"/>
      <c r="AT18" s="7"/>
      <c r="AU18" s="7"/>
      <c r="AV18" s="7">
        <v>4</v>
      </c>
      <c r="AW18" s="7"/>
      <c r="AX18" s="7"/>
      <c r="AY18" s="7" t="s">
        <v>130</v>
      </c>
      <c r="AZ18" s="7"/>
    </row>
    <row r="19" spans="1:52" x14ac:dyDescent="0.2">
      <c r="A19" s="7">
        <v>17</v>
      </c>
      <c r="B19" s="7">
        <v>38.282967014238203</v>
      </c>
      <c r="C19" s="7">
        <f>-28.3136820048093</f>
        <v>-28.313682004809301</v>
      </c>
      <c r="D19" s="8">
        <v>42565</v>
      </c>
      <c r="E19" s="15" t="s">
        <v>137</v>
      </c>
      <c r="F19" s="15" t="s">
        <v>132</v>
      </c>
      <c r="G19" s="15" t="s">
        <v>150</v>
      </c>
      <c r="H19" s="9">
        <v>0.63680555555555551</v>
      </c>
      <c r="I19" s="9"/>
      <c r="J19" s="9">
        <v>6.9444444444444447E-4</v>
      </c>
      <c r="K19" s="7" t="s">
        <v>45</v>
      </c>
      <c r="L19" s="7" t="s">
        <v>46</v>
      </c>
      <c r="M19" s="7" t="s">
        <v>46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>
        <v>1</v>
      </c>
      <c r="AE19" s="7">
        <v>8</v>
      </c>
      <c r="AF19" s="7">
        <v>8</v>
      </c>
      <c r="AG19" s="7"/>
      <c r="AH19" s="7"/>
      <c r="AI19" s="7"/>
      <c r="AJ19" s="7"/>
      <c r="AK19" s="7"/>
      <c r="AL19" s="7">
        <v>1</v>
      </c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>
        <v>4</v>
      </c>
      <c r="AW19" s="7"/>
      <c r="AX19" s="7"/>
      <c r="AY19" s="7" t="s">
        <v>130</v>
      </c>
      <c r="AZ19" s="7"/>
    </row>
    <row r="20" spans="1:52" x14ac:dyDescent="0.2">
      <c r="A20" s="7">
        <v>18</v>
      </c>
      <c r="B20" s="7">
        <v>38.333887998014603</v>
      </c>
      <c r="C20" s="7">
        <f>-28.0603060405701</f>
        <v>-28.060306040570101</v>
      </c>
      <c r="D20" s="8">
        <v>42573</v>
      </c>
      <c r="E20" s="15" t="s">
        <v>151</v>
      </c>
      <c r="F20" s="15" t="s">
        <v>132</v>
      </c>
      <c r="G20" s="15" t="s">
        <v>150</v>
      </c>
      <c r="H20" s="9">
        <v>0.6535185185185185</v>
      </c>
      <c r="I20" s="9">
        <v>0.66849537037037043</v>
      </c>
      <c r="J20" s="9">
        <f t="shared" si="0"/>
        <v>1.4976851851851936E-2</v>
      </c>
      <c r="K20" s="7" t="s">
        <v>47</v>
      </c>
      <c r="L20" s="7" t="s">
        <v>8</v>
      </c>
      <c r="M20" s="7" t="s">
        <v>49</v>
      </c>
      <c r="N20" s="7"/>
      <c r="O20" s="7">
        <v>1</v>
      </c>
      <c r="P20" s="7"/>
      <c r="Q20" s="7"/>
      <c r="R20" s="7"/>
      <c r="S20" s="7"/>
      <c r="T20" s="7">
        <v>1</v>
      </c>
      <c r="U20" s="7"/>
      <c r="V20" s="7"/>
      <c r="W20" s="7"/>
      <c r="X20" s="7">
        <v>1</v>
      </c>
      <c r="Y20" s="7"/>
      <c r="Z20" s="7"/>
      <c r="AA20" s="7"/>
      <c r="AB20" s="7"/>
      <c r="AC20" s="7">
        <v>1</v>
      </c>
      <c r="AD20" s="7"/>
      <c r="AE20" s="7">
        <v>8</v>
      </c>
      <c r="AF20" s="7">
        <v>8</v>
      </c>
      <c r="AG20" s="7"/>
      <c r="AH20" s="7"/>
      <c r="AI20" s="7"/>
      <c r="AJ20" s="7"/>
      <c r="AK20" s="7"/>
      <c r="AL20" s="7">
        <v>1</v>
      </c>
      <c r="AM20" s="7"/>
      <c r="AN20" s="7"/>
      <c r="AO20" s="7"/>
      <c r="AP20" s="7">
        <v>1</v>
      </c>
      <c r="AQ20" s="7"/>
      <c r="AR20" s="7"/>
      <c r="AS20" s="7"/>
      <c r="AT20" s="7"/>
      <c r="AU20" s="7"/>
      <c r="AV20" s="7">
        <v>2</v>
      </c>
      <c r="AW20" s="7"/>
      <c r="AX20" s="7"/>
      <c r="AY20" s="7" t="s">
        <v>130</v>
      </c>
      <c r="AZ20" s="7"/>
    </row>
    <row r="21" spans="1:52" x14ac:dyDescent="0.2">
      <c r="A21" s="7">
        <v>19</v>
      </c>
      <c r="B21" s="7">
        <v>38.532039038836899</v>
      </c>
      <c r="C21" s="7">
        <f>-28.0053660180419</f>
        <v>-28.005366018041901</v>
      </c>
      <c r="D21" s="8">
        <v>42573</v>
      </c>
      <c r="E21" s="15" t="s">
        <v>151</v>
      </c>
      <c r="F21" s="15" t="s">
        <v>132</v>
      </c>
      <c r="G21" s="15" t="s">
        <v>150</v>
      </c>
      <c r="H21" s="9">
        <v>0.71666666666666667</v>
      </c>
      <c r="I21" s="9">
        <v>0.72619212962962953</v>
      </c>
      <c r="J21" s="9">
        <f t="shared" si="0"/>
        <v>9.5254629629628607E-3</v>
      </c>
      <c r="K21" s="7" t="s">
        <v>50</v>
      </c>
      <c r="L21" s="7" t="s">
        <v>8</v>
      </c>
      <c r="M21" s="7" t="s">
        <v>52</v>
      </c>
      <c r="N21" s="7"/>
      <c r="O21" s="7">
        <v>1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>
        <v>7</v>
      </c>
      <c r="AF21" s="7">
        <v>7</v>
      </c>
      <c r="AG21" s="7"/>
      <c r="AH21" s="7"/>
      <c r="AI21" s="7"/>
      <c r="AJ21" s="7"/>
      <c r="AK21" s="7"/>
      <c r="AL21" s="7"/>
      <c r="AM21" s="7">
        <v>1</v>
      </c>
      <c r="AN21" s="7"/>
      <c r="AO21" s="7"/>
      <c r="AP21" s="7">
        <v>1</v>
      </c>
      <c r="AQ21" s="7"/>
      <c r="AR21" s="7"/>
      <c r="AS21" s="7"/>
      <c r="AT21" s="7"/>
      <c r="AU21" s="7"/>
      <c r="AV21" s="7">
        <v>3</v>
      </c>
      <c r="AW21" s="7"/>
      <c r="AX21" s="7"/>
      <c r="AY21" s="7" t="s">
        <v>130</v>
      </c>
      <c r="AZ21" s="7"/>
    </row>
    <row r="22" spans="1:52" x14ac:dyDescent="0.2">
      <c r="A22" s="7">
        <v>20</v>
      </c>
      <c r="B22" s="7">
        <v>38.272745031863401</v>
      </c>
      <c r="C22" s="7">
        <f>-28.3043690398335</f>
        <v>-28.304369039833499</v>
      </c>
      <c r="D22" s="8">
        <v>42576</v>
      </c>
      <c r="E22" s="15" t="s">
        <v>152</v>
      </c>
      <c r="F22" s="15" t="s">
        <v>132</v>
      </c>
      <c r="G22" s="15" t="s">
        <v>150</v>
      </c>
      <c r="H22" s="9">
        <v>0.49547453703703703</v>
      </c>
      <c r="I22" s="9"/>
      <c r="J22" s="9">
        <v>6.9444444444444447E-4</v>
      </c>
      <c r="K22" s="7" t="s">
        <v>53</v>
      </c>
      <c r="L22" s="7" t="s">
        <v>54</v>
      </c>
      <c r="M22" s="7" t="s">
        <v>54</v>
      </c>
      <c r="N22" s="7"/>
      <c r="O22" s="7">
        <v>1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>
        <v>1</v>
      </c>
      <c r="AD22" s="7"/>
      <c r="AE22" s="7">
        <v>5</v>
      </c>
      <c r="AF22" s="7">
        <v>5</v>
      </c>
      <c r="AG22" s="7"/>
      <c r="AH22" s="7"/>
      <c r="AI22" s="7"/>
      <c r="AJ22" s="7"/>
      <c r="AK22" s="7"/>
      <c r="AL22" s="7">
        <v>1</v>
      </c>
      <c r="AM22" s="7"/>
      <c r="AN22" s="7"/>
      <c r="AO22" s="7"/>
      <c r="AP22" s="7"/>
      <c r="AQ22" s="7">
        <v>1</v>
      </c>
      <c r="AR22" s="7"/>
      <c r="AS22" s="7"/>
      <c r="AT22" s="7"/>
      <c r="AU22" s="7"/>
      <c r="AV22" s="7">
        <v>1</v>
      </c>
      <c r="AW22" s="7"/>
      <c r="AX22" s="7"/>
      <c r="AY22" s="7" t="s">
        <v>130</v>
      </c>
      <c r="AZ22" s="7"/>
    </row>
    <row r="23" spans="1:52" x14ac:dyDescent="0.2">
      <c r="A23" s="7">
        <v>21</v>
      </c>
      <c r="B23" s="7">
        <v>38.241176018491302</v>
      </c>
      <c r="C23" s="7">
        <f>-28.1568639725446</f>
        <v>-28.156863972544599</v>
      </c>
      <c r="D23" s="8">
        <v>42576</v>
      </c>
      <c r="E23" s="15" t="s">
        <v>152</v>
      </c>
      <c r="F23" s="15" t="s">
        <v>132</v>
      </c>
      <c r="G23" s="15" t="s">
        <v>150</v>
      </c>
      <c r="H23" s="9">
        <v>0.68377314814814805</v>
      </c>
      <c r="I23" s="9">
        <v>0.68776620370370367</v>
      </c>
      <c r="J23" s="9">
        <f t="shared" si="0"/>
        <v>3.9930555555556246E-3</v>
      </c>
      <c r="K23" s="7" t="s">
        <v>55</v>
      </c>
      <c r="L23" s="7" t="s">
        <v>8</v>
      </c>
      <c r="M23" s="7" t="s">
        <v>57</v>
      </c>
      <c r="N23" s="7"/>
      <c r="O23" s="7"/>
      <c r="P23" s="7"/>
      <c r="Q23" s="7"/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>
        <v>1</v>
      </c>
      <c r="AD23" s="7"/>
      <c r="AE23" s="7">
        <v>7</v>
      </c>
      <c r="AF23" s="7">
        <v>7</v>
      </c>
      <c r="AG23" s="7"/>
      <c r="AH23" s="7"/>
      <c r="AI23" s="7"/>
      <c r="AJ23" s="7"/>
      <c r="AK23" s="7"/>
      <c r="AL23" s="7">
        <v>1</v>
      </c>
      <c r="AM23" s="7"/>
      <c r="AN23" s="7"/>
      <c r="AO23" s="7"/>
      <c r="AP23" s="7">
        <v>1</v>
      </c>
      <c r="AQ23" s="7"/>
      <c r="AR23" s="7"/>
      <c r="AS23" s="7"/>
      <c r="AT23" s="7"/>
      <c r="AU23" s="7"/>
      <c r="AV23" s="7">
        <v>2</v>
      </c>
      <c r="AW23" s="7"/>
      <c r="AX23" s="7"/>
      <c r="AY23" s="7" t="s">
        <v>130</v>
      </c>
      <c r="AZ23" s="7"/>
    </row>
    <row r="24" spans="1:52" x14ac:dyDescent="0.2">
      <c r="A24" s="7">
        <v>22</v>
      </c>
      <c r="B24" s="7">
        <v>38.287871014326797</v>
      </c>
      <c r="C24" s="7">
        <f>-28.1986439879983</f>
        <v>-28.198643987998299</v>
      </c>
      <c r="D24" s="8">
        <v>42579</v>
      </c>
      <c r="E24" s="15" t="s">
        <v>153</v>
      </c>
      <c r="F24" s="15" t="s">
        <v>132</v>
      </c>
      <c r="G24" s="15" t="s">
        <v>150</v>
      </c>
      <c r="H24" s="9">
        <v>0.43189814814814814</v>
      </c>
      <c r="I24" s="9"/>
      <c r="J24" s="9">
        <v>6.9444444444444447E-4</v>
      </c>
      <c r="K24" s="7" t="s">
        <v>58</v>
      </c>
      <c r="L24" s="7" t="s">
        <v>59</v>
      </c>
      <c r="M24" s="7" t="s">
        <v>59</v>
      </c>
      <c r="N24" s="7"/>
      <c r="O24" s="7"/>
      <c r="P24" s="7"/>
      <c r="Q24" s="7"/>
      <c r="R24" s="7">
        <v>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>
        <v>1</v>
      </c>
      <c r="AD24" s="7"/>
      <c r="AE24" s="7">
        <v>6</v>
      </c>
      <c r="AF24" s="7">
        <v>6</v>
      </c>
      <c r="AG24" s="7"/>
      <c r="AH24" s="7"/>
      <c r="AI24" s="7"/>
      <c r="AJ24" s="7"/>
      <c r="AK24" s="7"/>
      <c r="AL24" s="7">
        <v>1</v>
      </c>
      <c r="AM24" s="7"/>
      <c r="AN24" s="7"/>
      <c r="AO24" s="7"/>
      <c r="AP24" s="7"/>
      <c r="AQ24" s="7"/>
      <c r="AR24" s="7">
        <v>1</v>
      </c>
      <c r="AS24" s="7"/>
      <c r="AT24" s="7"/>
      <c r="AU24" s="7"/>
      <c r="AV24" s="7">
        <v>3</v>
      </c>
      <c r="AW24" s="7"/>
      <c r="AX24" s="7"/>
      <c r="AY24" s="7" t="s">
        <v>130</v>
      </c>
      <c r="AZ24" s="7"/>
    </row>
    <row r="25" spans="1:52" x14ac:dyDescent="0.2">
      <c r="A25" s="7">
        <v>23</v>
      </c>
      <c r="B25" s="7">
        <v>38.332140035927203</v>
      </c>
      <c r="C25" s="7">
        <f>-28.2177249714732</f>
        <v>-28.217724971473199</v>
      </c>
      <c r="D25" s="8">
        <v>42579</v>
      </c>
      <c r="E25" s="15" t="s">
        <v>153</v>
      </c>
      <c r="F25" s="15" t="s">
        <v>132</v>
      </c>
      <c r="G25" s="15" t="s">
        <v>150</v>
      </c>
      <c r="H25" s="9">
        <v>0.70430555555555552</v>
      </c>
      <c r="I25" s="9">
        <v>0.7211574074074073</v>
      </c>
      <c r="J25" s="9">
        <f t="shared" si="0"/>
        <v>1.6851851851851785E-2</v>
      </c>
      <c r="K25" s="7" t="s">
        <v>60</v>
      </c>
      <c r="L25" s="7" t="s">
        <v>8</v>
      </c>
      <c r="M25" s="7" t="s">
        <v>62</v>
      </c>
      <c r="N25" s="7"/>
      <c r="O25" s="7">
        <v>1</v>
      </c>
      <c r="P25" s="7"/>
      <c r="Q25" s="7"/>
      <c r="R25" s="7"/>
      <c r="S25" s="7"/>
      <c r="T25" s="7"/>
      <c r="U25" s="7"/>
      <c r="V25" s="7"/>
      <c r="W25" s="7"/>
      <c r="X25" s="7">
        <v>1</v>
      </c>
      <c r="Y25" s="7"/>
      <c r="Z25" s="7"/>
      <c r="AA25" s="7"/>
      <c r="AB25" s="7"/>
      <c r="AC25" s="7">
        <v>1</v>
      </c>
      <c r="AD25" s="7"/>
      <c r="AE25" s="7">
        <v>8</v>
      </c>
      <c r="AF25" s="7">
        <v>7</v>
      </c>
      <c r="AG25" s="7">
        <v>1</v>
      </c>
      <c r="AH25" s="7"/>
      <c r="AI25" s="7"/>
      <c r="AJ25" s="7"/>
      <c r="AK25" s="7"/>
      <c r="AL25" s="7">
        <v>1</v>
      </c>
      <c r="AM25" s="7"/>
      <c r="AN25" s="7"/>
      <c r="AO25" s="7"/>
      <c r="AP25" s="7"/>
      <c r="AQ25" s="7">
        <v>1</v>
      </c>
      <c r="AR25" s="7"/>
      <c r="AS25" s="7"/>
      <c r="AT25" s="7"/>
      <c r="AU25" s="7"/>
      <c r="AV25" s="7">
        <v>3</v>
      </c>
      <c r="AW25" s="7"/>
      <c r="AX25" s="7"/>
      <c r="AY25" s="7" t="s">
        <v>130</v>
      </c>
      <c r="AZ25" s="7"/>
    </row>
    <row r="26" spans="1:52" x14ac:dyDescent="0.2">
      <c r="A26" s="7">
        <v>24</v>
      </c>
      <c r="B26" s="7">
        <v>38.339981976896503</v>
      </c>
      <c r="C26" s="7">
        <f>-27.9920169990509</f>
        <v>-27.9920169990509</v>
      </c>
      <c r="D26" s="8">
        <v>42580</v>
      </c>
      <c r="E26" s="15" t="s">
        <v>146</v>
      </c>
      <c r="F26" s="15" t="s">
        <v>132</v>
      </c>
      <c r="G26" s="15" t="s">
        <v>150</v>
      </c>
      <c r="H26" s="9">
        <v>0.48986111111111108</v>
      </c>
      <c r="I26" s="9">
        <v>0.4993055555555555</v>
      </c>
      <c r="J26" s="9">
        <f t="shared" si="0"/>
        <v>9.444444444444422E-3</v>
      </c>
      <c r="K26" s="7" t="s">
        <v>63</v>
      </c>
      <c r="L26" s="7" t="s">
        <v>8</v>
      </c>
      <c r="M26" s="7" t="s">
        <v>65</v>
      </c>
      <c r="N26" s="7"/>
      <c r="O26" s="7">
        <v>1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>
        <v>1</v>
      </c>
      <c r="AD26" s="7"/>
      <c r="AE26" s="7">
        <v>3</v>
      </c>
      <c r="AF26" s="7">
        <v>3</v>
      </c>
      <c r="AG26" s="7"/>
      <c r="AH26" s="7"/>
      <c r="AI26" s="7"/>
      <c r="AJ26" s="7"/>
      <c r="AK26" s="7"/>
      <c r="AL26" s="7"/>
      <c r="AM26" s="7">
        <v>1</v>
      </c>
      <c r="AN26" s="7"/>
      <c r="AO26" s="7"/>
      <c r="AP26" s="7">
        <v>1</v>
      </c>
      <c r="AQ26" s="7"/>
      <c r="AR26" s="7"/>
      <c r="AS26" s="7"/>
      <c r="AT26" s="7"/>
      <c r="AU26" s="7"/>
      <c r="AV26" s="7">
        <v>2</v>
      </c>
      <c r="AW26" s="7"/>
      <c r="AX26" s="7"/>
      <c r="AY26" s="7" t="s">
        <v>130</v>
      </c>
      <c r="AZ26" s="7"/>
    </row>
    <row r="27" spans="1:52" x14ac:dyDescent="0.2">
      <c r="A27" s="7">
        <v>25</v>
      </c>
      <c r="B27" s="7">
        <v>38.318244013935299</v>
      </c>
      <c r="C27" s="7">
        <f>-28.0006380379199</f>
        <v>-28.000638037919899</v>
      </c>
      <c r="D27" s="8">
        <v>42582</v>
      </c>
      <c r="E27" s="15" t="s">
        <v>154</v>
      </c>
      <c r="F27" s="15" t="s">
        <v>132</v>
      </c>
      <c r="G27" s="15" t="s">
        <v>150</v>
      </c>
      <c r="H27" s="9">
        <v>0.46512731481481479</v>
      </c>
      <c r="I27" s="9">
        <v>0.47693287037037035</v>
      </c>
      <c r="J27" s="9">
        <f t="shared" si="0"/>
        <v>1.1805555555555569E-2</v>
      </c>
      <c r="K27" s="7" t="s">
        <v>66</v>
      </c>
      <c r="L27" s="7" t="s">
        <v>8</v>
      </c>
      <c r="M27" s="7" t="s">
        <v>68</v>
      </c>
      <c r="N27" s="7"/>
      <c r="O27" s="7">
        <v>1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1</v>
      </c>
      <c r="AD27" s="7"/>
      <c r="AE27" s="7">
        <v>12</v>
      </c>
      <c r="AF27" s="7">
        <v>12</v>
      </c>
      <c r="AG27" s="7"/>
      <c r="AH27" s="7"/>
      <c r="AI27" s="7"/>
      <c r="AJ27" s="7"/>
      <c r="AK27" s="7">
        <v>1</v>
      </c>
      <c r="AL27" s="7"/>
      <c r="AM27" s="7"/>
      <c r="AN27" s="7"/>
      <c r="AO27" s="7">
        <v>1</v>
      </c>
      <c r="AP27" s="7"/>
      <c r="AQ27" s="7"/>
      <c r="AR27" s="7"/>
      <c r="AS27" s="7"/>
      <c r="AT27" s="7"/>
      <c r="AU27" s="7"/>
      <c r="AV27" s="7">
        <v>1</v>
      </c>
      <c r="AW27" s="7"/>
      <c r="AX27" s="7"/>
      <c r="AY27" s="7" t="s">
        <v>130</v>
      </c>
      <c r="AZ27" s="7"/>
    </row>
    <row r="28" spans="1:52" x14ac:dyDescent="0.2">
      <c r="A28" s="7">
        <v>26</v>
      </c>
      <c r="B28" s="7">
        <v>38.327217008918502</v>
      </c>
      <c r="C28" s="7">
        <f>-28.1983569916337</f>
        <v>-28.198356991633698</v>
      </c>
      <c r="D28" s="8">
        <v>42582</v>
      </c>
      <c r="E28" s="15" t="s">
        <v>154</v>
      </c>
      <c r="F28" s="15" t="s">
        <v>132</v>
      </c>
      <c r="G28" s="15" t="s">
        <v>150</v>
      </c>
      <c r="H28" s="9">
        <v>0.74626157407407412</v>
      </c>
      <c r="I28" s="9"/>
      <c r="J28" s="9">
        <v>6.9444444444444447E-4</v>
      </c>
      <c r="K28" s="7" t="s">
        <v>69</v>
      </c>
      <c r="L28" s="7" t="s">
        <v>70</v>
      </c>
      <c r="M28" s="7" t="s">
        <v>70</v>
      </c>
      <c r="N28" s="7"/>
      <c r="O28" s="7">
        <v>1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>
        <v>12</v>
      </c>
      <c r="AF28" s="7">
        <v>12</v>
      </c>
      <c r="AG28" s="7"/>
      <c r="AH28" s="7"/>
      <c r="AI28" s="7"/>
      <c r="AJ28" s="7"/>
      <c r="AK28" s="7"/>
      <c r="AL28" s="7">
        <v>1</v>
      </c>
      <c r="AM28" s="7"/>
      <c r="AN28" s="7"/>
      <c r="AO28" s="7"/>
      <c r="AP28" s="7">
        <v>1</v>
      </c>
      <c r="AQ28" s="7"/>
      <c r="AR28" s="7"/>
      <c r="AS28" s="7"/>
      <c r="AT28" s="7"/>
      <c r="AU28" s="7"/>
      <c r="AV28" s="7">
        <v>1</v>
      </c>
      <c r="AW28" s="7"/>
      <c r="AX28" s="7"/>
      <c r="AY28" s="7" t="s">
        <v>130</v>
      </c>
      <c r="AZ28" s="7"/>
    </row>
    <row r="29" spans="1:52" x14ac:dyDescent="0.2">
      <c r="A29" s="7">
        <v>27</v>
      </c>
      <c r="B29" s="7">
        <v>38.332765996456097</v>
      </c>
      <c r="C29" s="7">
        <f>-28.1885039806365</f>
        <v>-28.188503980636501</v>
      </c>
      <c r="D29" s="8">
        <v>42583</v>
      </c>
      <c r="E29" s="15" t="s">
        <v>155</v>
      </c>
      <c r="F29" s="15" t="s">
        <v>143</v>
      </c>
      <c r="G29" s="15" t="s">
        <v>150</v>
      </c>
      <c r="H29" s="9">
        <v>0.62596064814814811</v>
      </c>
      <c r="I29" s="9">
        <v>0.64420138888888889</v>
      </c>
      <c r="J29" s="9">
        <f t="shared" si="0"/>
        <v>1.824074074074078E-2</v>
      </c>
      <c r="K29" s="7" t="s">
        <v>71</v>
      </c>
      <c r="L29" s="7" t="s">
        <v>8</v>
      </c>
      <c r="M29" s="7" t="s">
        <v>73</v>
      </c>
      <c r="N29" s="7"/>
      <c r="O29" s="7">
        <v>1</v>
      </c>
      <c r="P29" s="7"/>
      <c r="Q29" s="7">
        <v>1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1</v>
      </c>
      <c r="AD29" s="7"/>
      <c r="AE29" s="7">
        <v>4</v>
      </c>
      <c r="AF29" s="7">
        <v>4</v>
      </c>
      <c r="AG29" s="7"/>
      <c r="AH29" s="7"/>
      <c r="AI29" s="7"/>
      <c r="AJ29" s="7"/>
      <c r="AK29" s="7"/>
      <c r="AL29" s="7">
        <v>1</v>
      </c>
      <c r="AM29" s="7"/>
      <c r="AN29" s="7"/>
      <c r="AO29" s="7"/>
      <c r="AP29" s="7">
        <v>1</v>
      </c>
      <c r="AQ29" s="7"/>
      <c r="AR29" s="7"/>
      <c r="AS29" s="7"/>
      <c r="AT29" s="7"/>
      <c r="AU29" s="7"/>
      <c r="AV29" s="7">
        <v>1</v>
      </c>
      <c r="AW29" s="7"/>
      <c r="AX29" s="7"/>
      <c r="AY29" s="7" t="s">
        <v>130</v>
      </c>
      <c r="AZ29" s="7"/>
    </row>
    <row r="30" spans="1:52" x14ac:dyDescent="0.2">
      <c r="A30" s="7">
        <v>28</v>
      </c>
      <c r="B30" s="7">
        <v>38.313891962170601</v>
      </c>
      <c r="C30" s="7">
        <f>-28.2533459644764</f>
        <v>-28.253345964476399</v>
      </c>
      <c r="D30" s="8">
        <v>42584</v>
      </c>
      <c r="E30" s="15" t="s">
        <v>156</v>
      </c>
      <c r="F30" s="15" t="s">
        <v>143</v>
      </c>
      <c r="G30" s="15" t="s">
        <v>150</v>
      </c>
      <c r="H30" s="9">
        <v>0.42269675925925926</v>
      </c>
      <c r="I30" s="9">
        <v>0.42952546296296296</v>
      </c>
      <c r="J30" s="9">
        <f t="shared" si="0"/>
        <v>6.8287037037036979E-3</v>
      </c>
      <c r="K30" s="7" t="s">
        <v>74</v>
      </c>
      <c r="L30" s="7" t="s">
        <v>8</v>
      </c>
      <c r="M30" s="7" t="s">
        <v>76</v>
      </c>
      <c r="N30" s="7"/>
      <c r="O30" s="7"/>
      <c r="P30" s="7"/>
      <c r="Q30" s="7">
        <v>1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>
        <v>1</v>
      </c>
      <c r="AD30" s="7"/>
      <c r="AE30" s="7">
        <v>5</v>
      </c>
      <c r="AF30" s="7">
        <v>5</v>
      </c>
      <c r="AG30" s="7"/>
      <c r="AH30" s="7"/>
      <c r="AI30" s="7"/>
      <c r="AJ30" s="7"/>
      <c r="AK30" s="7"/>
      <c r="AL30" s="7">
        <v>1</v>
      </c>
      <c r="AM30" s="7"/>
      <c r="AN30" s="7"/>
      <c r="AO30" s="7"/>
      <c r="AP30" s="7"/>
      <c r="AQ30" s="7">
        <v>1</v>
      </c>
      <c r="AR30" s="7"/>
      <c r="AS30" s="7"/>
      <c r="AT30" s="7"/>
      <c r="AU30" s="7"/>
      <c r="AV30" s="7">
        <v>1</v>
      </c>
      <c r="AW30" s="7"/>
      <c r="AX30" s="7"/>
      <c r="AY30" s="7" t="s">
        <v>130</v>
      </c>
      <c r="AZ30" s="7"/>
    </row>
    <row r="31" spans="1:52" x14ac:dyDescent="0.2">
      <c r="A31" s="7">
        <v>29</v>
      </c>
      <c r="B31" s="7">
        <v>38.2812069822102</v>
      </c>
      <c r="C31" s="7">
        <f>-28.2500210311263</f>
        <v>-28.250021031126298</v>
      </c>
      <c r="D31" s="8">
        <v>42605</v>
      </c>
      <c r="E31" s="15" t="s">
        <v>157</v>
      </c>
      <c r="F31" s="15" t="s">
        <v>143</v>
      </c>
      <c r="G31" s="15" t="s">
        <v>150</v>
      </c>
      <c r="H31" s="9">
        <v>0.63714120370370375</v>
      </c>
      <c r="I31" s="9">
        <v>0.64197916666666666</v>
      </c>
      <c r="J31" s="9">
        <f t="shared" si="0"/>
        <v>4.8379629629629051E-3</v>
      </c>
      <c r="K31" s="7" t="s">
        <v>77</v>
      </c>
      <c r="L31" s="7" t="s">
        <v>8</v>
      </c>
      <c r="M31" s="7" t="s">
        <v>79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1</v>
      </c>
      <c r="AE31" s="7">
        <v>2</v>
      </c>
      <c r="AF31" s="7">
        <v>2</v>
      </c>
      <c r="AG31" s="7"/>
      <c r="AH31" s="7"/>
      <c r="AI31" s="7"/>
      <c r="AJ31" s="7"/>
      <c r="AK31" s="7"/>
      <c r="AL31" s="7">
        <v>1</v>
      </c>
      <c r="AM31" s="7"/>
      <c r="AN31" s="7"/>
      <c r="AO31" s="7"/>
      <c r="AP31" s="7">
        <v>1</v>
      </c>
      <c r="AQ31" s="7"/>
      <c r="AR31" s="7"/>
      <c r="AS31" s="7"/>
      <c r="AT31" s="7"/>
      <c r="AU31" s="7"/>
      <c r="AV31" s="7">
        <v>1</v>
      </c>
      <c r="AW31" s="7"/>
      <c r="AX31" s="7"/>
      <c r="AY31" s="7" t="s">
        <v>130</v>
      </c>
      <c r="AZ31" s="7"/>
    </row>
    <row r="32" spans="1:52" x14ac:dyDescent="0.2">
      <c r="A32" s="7">
        <v>30</v>
      </c>
      <c r="B32" s="7">
        <v>38.345240028574999</v>
      </c>
      <c r="C32" s="7">
        <f>-28.1429559644311</f>
        <v>-28.142955964431099</v>
      </c>
      <c r="D32" s="8">
        <v>42939</v>
      </c>
      <c r="E32" s="15" t="s">
        <v>157</v>
      </c>
      <c r="F32" s="15" t="s">
        <v>132</v>
      </c>
      <c r="G32" s="15" t="s">
        <v>158</v>
      </c>
      <c r="H32" s="9">
        <v>0.40931712962962963</v>
      </c>
      <c r="I32" s="9">
        <v>0.44202546296296297</v>
      </c>
      <c r="J32" s="9">
        <f t="shared" si="0"/>
        <v>3.2708333333333339E-2</v>
      </c>
      <c r="K32" s="7" t="s">
        <v>80</v>
      </c>
      <c r="L32" s="7" t="s">
        <v>8</v>
      </c>
      <c r="M32" s="7" t="s">
        <v>82</v>
      </c>
      <c r="N32" s="7">
        <v>1</v>
      </c>
      <c r="O32" s="7">
        <v>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</v>
      </c>
      <c r="AD32" s="7"/>
      <c r="AE32" s="7">
        <v>10</v>
      </c>
      <c r="AF32" s="7">
        <v>7</v>
      </c>
      <c r="AG32" s="7">
        <v>3</v>
      </c>
      <c r="AH32" s="7"/>
      <c r="AI32" s="7"/>
      <c r="AJ32" s="7"/>
      <c r="AK32" s="7"/>
      <c r="AL32" s="7">
        <v>1</v>
      </c>
      <c r="AM32" s="7"/>
      <c r="AN32" s="7"/>
      <c r="AO32" s="7"/>
      <c r="AP32" s="7"/>
      <c r="AQ32" s="7">
        <v>1</v>
      </c>
      <c r="AR32" s="7"/>
      <c r="AS32" s="7"/>
      <c r="AT32" s="7"/>
      <c r="AU32" s="7"/>
      <c r="AV32" s="7">
        <v>1</v>
      </c>
      <c r="AW32" s="7"/>
      <c r="AX32" s="7"/>
      <c r="AY32" s="7" t="s">
        <v>130</v>
      </c>
      <c r="AZ32" s="7"/>
    </row>
    <row r="33" spans="1:52" x14ac:dyDescent="0.2">
      <c r="A33" s="7">
        <v>31</v>
      </c>
      <c r="B33" s="7">
        <v>38.34253099747</v>
      </c>
      <c r="C33" s="7">
        <f>-28.4273860417306</f>
        <v>-28.4273860417306</v>
      </c>
      <c r="D33" s="8">
        <v>43305</v>
      </c>
      <c r="E33" s="15" t="s">
        <v>159</v>
      </c>
      <c r="F33" s="15" t="s">
        <v>132</v>
      </c>
      <c r="G33" s="15" t="s">
        <v>160</v>
      </c>
      <c r="H33" s="9">
        <v>0.44498842592592597</v>
      </c>
      <c r="I33" s="9">
        <v>0.4480555555555556</v>
      </c>
      <c r="J33" s="9">
        <f t="shared" si="0"/>
        <v>3.067129629629628E-3</v>
      </c>
      <c r="K33" s="7" t="s">
        <v>83</v>
      </c>
      <c r="L33" s="7" t="s">
        <v>8</v>
      </c>
      <c r="M33" s="7" t="s">
        <v>85</v>
      </c>
      <c r="N33" s="7"/>
      <c r="O33" s="7"/>
      <c r="P33" s="7"/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</v>
      </c>
      <c r="AD33" s="7"/>
      <c r="AE33" s="7">
        <v>4</v>
      </c>
      <c r="AF33" s="7">
        <v>4</v>
      </c>
      <c r="AG33" s="7"/>
      <c r="AH33" s="7"/>
      <c r="AI33" s="7"/>
      <c r="AJ33" s="7"/>
      <c r="AK33" s="7"/>
      <c r="AL33" s="7"/>
      <c r="AM33" s="7">
        <v>1</v>
      </c>
      <c r="AN33" s="7"/>
      <c r="AO33" s="7"/>
      <c r="AP33" s="7">
        <v>1</v>
      </c>
      <c r="AQ33" s="7"/>
      <c r="AR33" s="7"/>
      <c r="AS33" s="7"/>
      <c r="AT33" s="7"/>
      <c r="AU33" s="7"/>
      <c r="AV33" s="7">
        <v>1</v>
      </c>
      <c r="AW33" s="7"/>
      <c r="AX33" s="7"/>
      <c r="AY33" s="7" t="s">
        <v>130</v>
      </c>
      <c r="AZ33" s="7"/>
    </row>
    <row r="34" spans="1:52" x14ac:dyDescent="0.2">
      <c r="A34" s="7">
        <v>32</v>
      </c>
      <c r="B34" s="7">
        <v>38.303021974861601</v>
      </c>
      <c r="C34" s="7">
        <f>-28.2025350350886</f>
        <v>-28.202535035088601</v>
      </c>
      <c r="D34" s="8">
        <v>43305</v>
      </c>
      <c r="E34" s="15" t="s">
        <v>159</v>
      </c>
      <c r="F34" s="15" t="s">
        <v>132</v>
      </c>
      <c r="G34" s="15" t="s">
        <v>160</v>
      </c>
      <c r="H34" s="9">
        <v>0.65074074074074073</v>
      </c>
      <c r="I34" s="9">
        <v>0.65557870370370364</v>
      </c>
      <c r="J34" s="9">
        <f t="shared" si="0"/>
        <v>4.8379629629629051E-3</v>
      </c>
      <c r="K34" s="7" t="s">
        <v>86</v>
      </c>
      <c r="L34" s="7" t="s">
        <v>8</v>
      </c>
      <c r="M34" s="7" t="s">
        <v>88</v>
      </c>
      <c r="N34" s="7"/>
      <c r="O34" s="7">
        <v>1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>
        <v>5</v>
      </c>
      <c r="AF34" s="7">
        <v>5</v>
      </c>
      <c r="AG34" s="7"/>
      <c r="AH34" s="7"/>
      <c r="AI34" s="7"/>
      <c r="AJ34" s="7"/>
      <c r="AK34" s="7"/>
      <c r="AL34" s="7"/>
      <c r="AM34" s="7">
        <v>1</v>
      </c>
      <c r="AN34" s="7"/>
      <c r="AO34" s="7"/>
      <c r="AP34" s="7">
        <v>1</v>
      </c>
      <c r="AQ34" s="7"/>
      <c r="AR34" s="7"/>
      <c r="AS34" s="7"/>
      <c r="AT34" s="7"/>
      <c r="AU34" s="7"/>
      <c r="AV34" s="7">
        <v>2</v>
      </c>
      <c r="AW34" s="7"/>
      <c r="AX34" s="7"/>
      <c r="AY34" s="7" t="s">
        <v>130</v>
      </c>
      <c r="AZ34" s="7"/>
    </row>
  </sheetData>
  <mergeCells count="4">
    <mergeCell ref="N1:AD1"/>
    <mergeCell ref="AE1:AJ1"/>
    <mergeCell ref="AK1:AN1"/>
    <mergeCell ref="AO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2019-07-30T13:09:06Z</dcterms:created>
  <dcterms:modified xsi:type="dcterms:W3CDTF">2023-12-20T16:08:17Z</dcterms:modified>
</cp:coreProperties>
</file>